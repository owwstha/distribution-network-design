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cuments\7th sem\self\PS-II\assign\assign I\"/>
    </mc:Choice>
  </mc:AlternateContent>
  <xr:revisionPtr revIDLastSave="0" documentId="13_ncr:1_{514E6BE0-D7C9-4527-8A4B-7ED271D8713C}" xr6:coauthVersionLast="47" xr6:coauthVersionMax="47" xr10:uidLastSave="{00000000-0000-0000-0000-000000000000}"/>
  <bookViews>
    <workbookView xWindow="-110" yWindow="-110" windowWidth="19420" windowHeight="12220" tabRatio="500" activeTab="2" xr2:uid="{00000000-000D-0000-FFFF-FFFF00000000}"/>
  </bookViews>
  <sheets>
    <sheet name="Cost Estimate" sheetId="1" r:id="rId1"/>
    <sheet name="Conductors" sheetId="2" r:id="rId2"/>
    <sheet name="Quantities by Pol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63" i="3" l="1"/>
  <c r="C25" i="1" s="1"/>
  <c r="E25" i="1" s="1"/>
  <c r="P63" i="3"/>
  <c r="C23" i="1" s="1"/>
  <c r="E23" i="1" s="1"/>
  <c r="O63" i="3"/>
  <c r="C22" i="1" s="1"/>
  <c r="E22" i="1" s="1"/>
  <c r="N63" i="3"/>
  <c r="C20" i="1" s="1"/>
  <c r="E20" i="1" s="1"/>
  <c r="M63" i="3"/>
  <c r="C19" i="1" s="1"/>
  <c r="E19" i="1" s="1"/>
  <c r="L63" i="3"/>
  <c r="C18" i="1" s="1"/>
  <c r="E18" i="1" s="1"/>
  <c r="J63" i="3"/>
  <c r="C16" i="1" s="1"/>
  <c r="E16" i="1" s="1"/>
  <c r="I63" i="3"/>
  <c r="C15" i="1" s="1"/>
  <c r="E15" i="1" s="1"/>
  <c r="H63" i="3"/>
  <c r="C12" i="1" s="1"/>
  <c r="E12" i="1" s="1"/>
  <c r="G63" i="3"/>
  <c r="C13" i="1" s="1"/>
  <c r="E13" i="1" s="1"/>
  <c r="D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E16" i="2"/>
  <c r="H15" i="2"/>
  <c r="I15" i="2" s="1"/>
  <c r="H14" i="2"/>
  <c r="I14" i="2" s="1"/>
  <c r="H13" i="2"/>
  <c r="I13" i="2" s="1"/>
  <c r="H12" i="2"/>
  <c r="I12" i="2" s="1"/>
  <c r="I18" i="2" s="1"/>
  <c r="C7" i="1" s="1"/>
  <c r="E7" i="1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C42" i="1"/>
  <c r="E30" i="1"/>
  <c r="E29" i="1"/>
  <c r="E28" i="1"/>
  <c r="E27" i="1"/>
  <c r="C10" i="1"/>
  <c r="E10" i="1" s="1"/>
  <c r="C9" i="1"/>
  <c r="E9" i="1" s="1"/>
  <c r="K63" i="3" l="1"/>
  <c r="C17" i="1" s="1"/>
  <c r="E17" i="1" s="1"/>
  <c r="E32" i="1"/>
  <c r="I5" i="2"/>
  <c r="H16" i="2"/>
  <c r="I17" i="2" l="1"/>
  <c r="C6" i="1" s="1"/>
  <c r="E6" i="1" s="1"/>
  <c r="I16" i="2"/>
  <c r="E34" i="1" l="1"/>
  <c r="E33" i="1"/>
  <c r="E35" i="1" s="1"/>
  <c r="E36" i="1" l="1"/>
  <c r="E37" i="1" s="1"/>
  <c r="E38" i="1" l="1"/>
  <c r="E39" i="1" s="1"/>
  <c r="E41" i="1" l="1"/>
  <c r="E42" i="1"/>
</calcChain>
</file>

<file path=xl/sharedStrings.xml><?xml version="1.0" encoding="utf-8"?>
<sst xmlns="http://schemas.openxmlformats.org/spreadsheetml/2006/main" count="355" uniqueCount="178">
  <si>
    <t>COST ESTIMATE - BAHUNDANDA SOUTH SPUR RURAL ELECTRIFICATION</t>
  </si>
  <si>
    <t>Rates in NPR excluding VAT. Yellow rate = indicative market rate (no current published rate found online): replace with the Lamjung district rate or NEA rate before submission.</t>
  </si>
  <si>
    <t>S.No.</t>
  </si>
  <si>
    <t>Particulars</t>
  </si>
  <si>
    <t>Quantity</t>
  </si>
  <si>
    <t>Unit Cost (Rs.)</t>
  </si>
  <si>
    <t>Cost (Rs.)</t>
  </si>
  <si>
    <t>Conductors</t>
  </si>
  <si>
    <t>Length (km) with sag</t>
  </si>
  <si>
    <t>Rs./km</t>
  </si>
  <si>
    <t>i.</t>
  </si>
  <si>
    <t>ii.</t>
  </si>
  <si>
    <t>Poles</t>
  </si>
  <si>
    <t>Rs./no</t>
  </si>
  <si>
    <t>Steel tubular pole 8 m (LV)</t>
  </si>
  <si>
    <t>Stay set</t>
  </si>
  <si>
    <t>Rs./set</t>
  </si>
  <si>
    <t>LT stay set</t>
  </si>
  <si>
    <t>Insulators and fittings</t>
  </si>
  <si>
    <t>Shackle insulator (medium)</t>
  </si>
  <si>
    <t>Shackle insulator (large)</t>
  </si>
  <si>
    <t>iii.</t>
  </si>
  <si>
    <t>D-iron set (with bolts)</t>
  </si>
  <si>
    <t>iv.</t>
  </si>
  <si>
    <t>11 kV pin insulator with GI pin</t>
  </si>
  <si>
    <t>v.</t>
  </si>
  <si>
    <t>11 kV disc (strain) insulator set with fittings</t>
  </si>
  <si>
    <t>vi.</t>
  </si>
  <si>
    <t>11 kV cross arm set (channel, with clamps)</t>
  </si>
  <si>
    <t>Lightning arrestors</t>
  </si>
  <si>
    <t>Earthing set</t>
  </si>
  <si>
    <t>Transformer and switchgear</t>
  </si>
  <si>
    <t>Transformer 25 kVA, 3-phase, 11 kV/433 V, Dyn11</t>
  </si>
  <si>
    <t>11 kV drop-out fuse set (3 nos) at T1</t>
  </si>
  <si>
    <t>Total material cost (A)</t>
  </si>
  <si>
    <t>Labour, erection and stringing (B) = % of A</t>
  </si>
  <si>
    <t>Transportation and porterage (C) = % of A</t>
  </si>
  <si>
    <t>Sub-total (A + B + C)</t>
  </si>
  <si>
    <t>VAT</t>
  </si>
  <si>
    <t>Total including VAT</t>
  </si>
  <si>
    <t>Contingencies</t>
  </si>
  <si>
    <t>GRAND TOTAL</t>
  </si>
  <si>
    <t>Cost per household (68 households)</t>
  </si>
  <si>
    <t>Cost per km of line (11 kV + LV route, km)</t>
  </si>
  <si>
    <t>Notes</t>
  </si>
  <si>
    <t>1. Quantities are formulas from sheets "Conductors" (per SLD reach) and "Quantities by Pole" (per surveyed pole, with counting rules).</t>
  </si>
  <si>
    <t>2. Service wire = survey service-drop length 802 m x sag allowance + 4 m per house for pole and house-entry runs.</t>
  </si>
  <si>
    <t>3. Conductors: Gopher on T1-D06 (heaviest trunk, 2.8 kW); Squirrel on all other reaches including the 11 kV line.</t>
  </si>
  <si>
    <t>4. Energy meters, house wiring and NEA connection charges are excluded (consumer side).</t>
  </si>
  <si>
    <t>5. Blue = input; black = formula; green = link to another sheet; yellow = assumption or indicative rate to verify.</t>
  </si>
  <si>
    <t>Allowance for sag, jumpers and wastage (x distance):</t>
  </si>
  <si>
    <t>From</t>
  </si>
  <si>
    <t>To</t>
  </si>
  <si>
    <t>Reach</t>
  </si>
  <si>
    <t>Phase</t>
  </si>
  <si>
    <t>Distance (m)</t>
  </si>
  <si>
    <t>No. of wires</t>
  </si>
  <si>
    <t>Conductor</t>
  </si>
  <si>
    <t>Route length with sag (m)</t>
  </si>
  <si>
    <t>Conductor length with sag (km)</t>
  </si>
  <si>
    <t>HT00</t>
  </si>
  <si>
    <t>T1</t>
  </si>
  <si>
    <t>HT00-T1</t>
  </si>
  <si>
    <t>3 (11 kV)</t>
  </si>
  <si>
    <t>Squirrel</t>
  </si>
  <si>
    <t>A08</t>
  </si>
  <si>
    <t>T1-A08</t>
  </si>
  <si>
    <t>2 (y,b)</t>
  </si>
  <si>
    <t>A105</t>
  </si>
  <si>
    <t>A08-A105</t>
  </si>
  <si>
    <t>1 (b)</t>
  </si>
  <si>
    <t>A207</t>
  </si>
  <si>
    <t>A08-A207</t>
  </si>
  <si>
    <t>1 (y)</t>
  </si>
  <si>
    <t>B07</t>
  </si>
  <si>
    <t>T1-B07</t>
  </si>
  <si>
    <t>C07</t>
  </si>
  <si>
    <t>T1-C07</t>
  </si>
  <si>
    <t>1 (r)</t>
  </si>
  <si>
    <t>C01</t>
  </si>
  <si>
    <t>C104</t>
  </si>
  <si>
    <t>C01-C104</t>
  </si>
  <si>
    <t>D06</t>
  </si>
  <si>
    <t>T1-D06</t>
  </si>
  <si>
    <t>2 (r,y)</t>
  </si>
  <si>
    <t>Gopher</t>
  </si>
  <si>
    <t>D104</t>
  </si>
  <si>
    <t>D06-D104</t>
  </si>
  <si>
    <t>D204</t>
  </si>
  <si>
    <t>D06-D204</t>
  </si>
  <si>
    <t>D202</t>
  </si>
  <si>
    <t>D301</t>
  </si>
  <si>
    <t>D202-D301</t>
  </si>
  <si>
    <t>Total</t>
  </si>
  <si>
    <t>of which Squirrel</t>
  </si>
  <si>
    <t>of which Gopher</t>
  </si>
  <si>
    <t>Pole ID</t>
  </si>
  <si>
    <t>Line</t>
  </si>
  <si>
    <t>Poles (nos)</t>
  </si>
  <si>
    <t>Pole height (m)</t>
  </si>
  <si>
    <t>Wires</t>
  </si>
  <si>
    <t>LT stay sets</t>
  </si>
  <si>
    <t>HT stay sets</t>
  </si>
  <si>
    <t>Shackle (medium)</t>
  </si>
  <si>
    <t>Shackle (large)</t>
  </si>
  <si>
    <t>D-iron sets</t>
  </si>
  <si>
    <t>11 kV pin insulators</t>
  </si>
  <si>
    <t>11 kV disc sets</t>
  </si>
  <si>
    <t>11 kV cross arms</t>
  </si>
  <si>
    <t>LA 0.5 kV</t>
  </si>
  <si>
    <t>LA 9 kV</t>
  </si>
  <si>
    <t>Earthing sets</t>
  </si>
  <si>
    <t>11 kV</t>
  </si>
  <si>
    <t>HT01</t>
  </si>
  <si>
    <t>HT02</t>
  </si>
  <si>
    <t>HT03</t>
  </si>
  <si>
    <t>HT04</t>
  </si>
  <si>
    <t>T1 structure</t>
  </si>
  <si>
    <t>11 kV / transformer</t>
  </si>
  <si>
    <t>A01</t>
  </si>
  <si>
    <t>LV</t>
  </si>
  <si>
    <t>A02</t>
  </si>
  <si>
    <t>A03</t>
  </si>
  <si>
    <t>A04</t>
  </si>
  <si>
    <t>A05</t>
  </si>
  <si>
    <t>A06</t>
  </si>
  <si>
    <t>A07</t>
  </si>
  <si>
    <t>A101</t>
  </si>
  <si>
    <t>A102</t>
  </si>
  <si>
    <t>A103</t>
  </si>
  <si>
    <t>A104</t>
  </si>
  <si>
    <t>A201</t>
  </si>
  <si>
    <t>A202</t>
  </si>
  <si>
    <t>A203</t>
  </si>
  <si>
    <t>A204</t>
  </si>
  <si>
    <t>A205</t>
  </si>
  <si>
    <t>A206</t>
  </si>
  <si>
    <t>B01</t>
  </si>
  <si>
    <t>B02</t>
  </si>
  <si>
    <t>B03</t>
  </si>
  <si>
    <t>B04</t>
  </si>
  <si>
    <t>B05</t>
  </si>
  <si>
    <t>B06</t>
  </si>
  <si>
    <t>C02</t>
  </si>
  <si>
    <t>C03</t>
  </si>
  <si>
    <t>C04</t>
  </si>
  <si>
    <t>C05</t>
  </si>
  <si>
    <t>C06</t>
  </si>
  <si>
    <t>C101</t>
  </si>
  <si>
    <t>C102</t>
  </si>
  <si>
    <t>C103</t>
  </si>
  <si>
    <t>D01</t>
  </si>
  <si>
    <t>D02</t>
  </si>
  <si>
    <t>D03</t>
  </si>
  <si>
    <t>D04</t>
  </si>
  <si>
    <t>D05</t>
  </si>
  <si>
    <t>D101</t>
  </si>
  <si>
    <t>D102</t>
  </si>
  <si>
    <t>D103</t>
  </si>
  <si>
    <t>D201</t>
  </si>
  <si>
    <t>D203</t>
  </si>
  <si>
    <t>Counting rules</t>
  </si>
  <si>
    <t>LV (each wire on a shackle insulator with D-iron): tangent pole = 1 medium shackle per wire; angle 10-60 deg = 1 large per wire; angle &gt; 60 deg = 2 large per wire; dead-end = 1 large per wire; tee-off = large for the incoming wires + the wires of each branch starting there. D-iron set = 1 per shackle.</t>
  </si>
  <si>
    <t>T1 structure: LV terminations of the four outgoing feeders on large shackles (A 3 + B 2 + C 2 + D 3 wires); 3 disc sets + 1 cross arm (11 kV terminal); 3 x 9 kV LAs (HV side), 3 x 0.5 kV LAs (LV side); 3 earthing sets (neutral, body, LA).</t>
  </si>
  <si>
    <t>11 kV: tangent = 3 pin insulators + 1 cross arm; angle = 6 disc sets (double dead-end) + 3 pin insulators for jumpers + 2 cross arms; tap-off HT00 = 3 disc sets + 1 cross arm + earthing for the ABS.</t>
  </si>
  <si>
    <t>Each LV dead-end: 1 x 0.5 kV LA per phase wire and 1 earthing set. Stay sets as in the pole table.</t>
  </si>
  <si>
    <t>ACSR Squirrel</t>
  </si>
  <si>
    <t xml:space="preserve">ACSR Gopher </t>
  </si>
  <si>
    <t xml:space="preserve">Steel tubular pole 11 m </t>
  </si>
  <si>
    <t xml:space="preserve">HT stay set </t>
  </si>
  <si>
    <t xml:space="preserve">9 kV, ZnO </t>
  </si>
  <si>
    <t xml:space="preserve">0.5 kV, ZnO </t>
  </si>
  <si>
    <t xml:space="preserve">Earthing set </t>
  </si>
  <si>
    <t>11 kV air break switch, 3-pole, 400 A</t>
  </si>
  <si>
    <t xml:space="preserve">LV distribution box with MCCBs </t>
  </si>
  <si>
    <t xml:space="preserve">Conductor per reach is an input (blue): type Squirrel or Gopher. Wires: 11 kV = 3; LV two-phase = 3; LV single-phase = 2. </t>
  </si>
  <si>
    <t>CONDUCTOR QUANTITIES BY REACH</t>
  </si>
  <si>
    <t xml:space="preserve">MATERIAL QUANTITIES BY POLE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</si>
</sst>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#,##0.0"/>
    <numFmt numFmtId="167" formatCode="0;\-0;\-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/>
    </xf>
    <xf numFmtId="3" fontId="6" fillId="0" borderId="1" xfId="0" applyNumberFormat="1" applyFont="1" applyBorder="1"/>
    <xf numFmtId="3" fontId="4" fillId="0" borderId="1" xfId="0" applyNumberFormat="1" applyFont="1" applyBorder="1"/>
    <xf numFmtId="3" fontId="5" fillId="0" borderId="1" xfId="0" applyNumberFormat="1" applyFont="1" applyBorder="1" applyAlignment="1">
      <alignment horizontal="center"/>
    </xf>
    <xf numFmtId="3" fontId="6" fillId="3" borderId="1" xfId="0" applyNumberFormat="1" applyFont="1" applyFill="1" applyBorder="1"/>
    <xf numFmtId="165" fontId="5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/>
    <xf numFmtId="3" fontId="3" fillId="4" borderId="1" xfId="0" applyNumberFormat="1" applyFont="1" applyFill="1" applyBorder="1"/>
    <xf numFmtId="9" fontId="6" fillId="3" borderId="1" xfId="0" applyNumberFormat="1" applyFont="1" applyFill="1" applyBorder="1" applyAlignment="1">
      <alignment horizontal="center"/>
    </xf>
    <xf numFmtId="3" fontId="3" fillId="0" borderId="1" xfId="0" applyNumberFormat="1" applyFont="1" applyBorder="1"/>
    <xf numFmtId="0" fontId="3" fillId="0" borderId="0" xfId="0" applyFont="1"/>
    <xf numFmtId="0" fontId="7" fillId="0" borderId="0" xfId="0" applyFont="1"/>
    <xf numFmtId="0" fontId="4" fillId="0" borderId="0" xfId="0" applyFont="1"/>
    <xf numFmtId="2" fontId="6" fillId="3" borderId="1" xfId="0" applyNumberFormat="1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6" fontId="4" fillId="0" borderId="1" xfId="0" applyNumberFormat="1" applyFont="1" applyBorder="1"/>
    <xf numFmtId="164" fontId="4" fillId="0" borderId="1" xfId="0" applyNumberFormat="1" applyFont="1" applyBorder="1"/>
    <xf numFmtId="166" fontId="3" fillId="4" borderId="1" xfId="0" applyNumberFormat="1" applyFont="1" applyFill="1" applyBorder="1"/>
    <xf numFmtId="164" fontId="3" fillId="4" borderId="1" xfId="0" applyNumberFormat="1" applyFont="1" applyFill="1" applyBorder="1"/>
    <xf numFmtId="0" fontId="4" fillId="0" borderId="1" xfId="0" applyFont="1" applyBorder="1"/>
    <xf numFmtId="164" fontId="3" fillId="0" borderId="1" xfId="0" applyNumberFormat="1" applyFont="1" applyBorder="1"/>
    <xf numFmtId="167" fontId="6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showGridLines="0" zoomScale="117" zoomScaleNormal="63" workbookViewId="0">
      <pane ySplit="4" topLeftCell="A5" activePane="bottomLeft" state="frozen"/>
      <selection pane="bottomLeft" activeCell="B4" sqref="B4"/>
    </sheetView>
  </sheetViews>
  <sheetFormatPr defaultColWidth="8.6328125" defaultRowHeight="14.5" x14ac:dyDescent="0.35"/>
  <cols>
    <col min="1" max="1" width="7" customWidth="1"/>
    <col min="2" max="2" width="44" customWidth="1"/>
    <col min="3" max="3" width="13" customWidth="1"/>
    <col min="4" max="4" width="14" customWidth="1"/>
    <col min="5" max="5" width="15" customWidth="1"/>
  </cols>
  <sheetData>
    <row r="1" spans="1:5" ht="16.5" x14ac:dyDescent="0.35">
      <c r="A1" s="1" t="s">
        <v>0</v>
      </c>
    </row>
    <row r="2" spans="1:5" x14ac:dyDescent="0.35">
      <c r="A2" s="2" t="s">
        <v>1</v>
      </c>
    </row>
    <row r="4" spans="1:5" ht="31.5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6" x14ac:dyDescent="0.35">
      <c r="A5" s="4">
        <v>1</v>
      </c>
      <c r="B5" s="5" t="s">
        <v>7</v>
      </c>
      <c r="C5" s="6" t="s">
        <v>8</v>
      </c>
      <c r="D5" s="4" t="s">
        <v>9</v>
      </c>
      <c r="E5" s="5"/>
    </row>
    <row r="6" spans="1:5" x14ac:dyDescent="0.35">
      <c r="A6" s="7" t="s">
        <v>10</v>
      </c>
      <c r="B6" s="8" t="s">
        <v>166</v>
      </c>
      <c r="C6" s="9">
        <f>Conductors!I17</f>
        <v>4.0160999999999998</v>
      </c>
      <c r="D6" s="10">
        <v>80000</v>
      </c>
      <c r="E6" s="11">
        <f>C6*D6</f>
        <v>321288</v>
      </c>
    </row>
    <row r="7" spans="1:5" x14ac:dyDescent="0.35">
      <c r="A7" s="7" t="s">
        <v>11</v>
      </c>
      <c r="B7" s="8" t="s">
        <v>167</v>
      </c>
      <c r="C7" s="9">
        <f>Conductors!I18</f>
        <v>0.63030000000000008</v>
      </c>
      <c r="D7" s="10">
        <v>100000</v>
      </c>
      <c r="E7" s="11">
        <f>C7*D7</f>
        <v>63030.000000000007</v>
      </c>
    </row>
    <row r="8" spans="1:5" x14ac:dyDescent="0.35">
      <c r="A8" s="4">
        <v>2</v>
      </c>
      <c r="B8" s="5" t="s">
        <v>12</v>
      </c>
      <c r="C8" s="6" t="s">
        <v>4</v>
      </c>
      <c r="D8" s="4" t="s">
        <v>13</v>
      </c>
      <c r="E8" s="5"/>
    </row>
    <row r="9" spans="1:5" x14ac:dyDescent="0.35">
      <c r="A9" s="7" t="s">
        <v>10</v>
      </c>
      <c r="B9" s="8" t="s">
        <v>168</v>
      </c>
      <c r="C9" s="12">
        <f>SUMIF('Quantities by Pole'!$E$4:$E$62,11,'Quantities by Pole'!$D$4:$D$62)</f>
        <v>7</v>
      </c>
      <c r="D9" s="13">
        <v>32000</v>
      </c>
      <c r="E9" s="11">
        <f>C9*D9</f>
        <v>224000</v>
      </c>
    </row>
    <row r="10" spans="1:5" x14ac:dyDescent="0.35">
      <c r="A10" s="7" t="s">
        <v>11</v>
      </c>
      <c r="B10" s="8" t="s">
        <v>14</v>
      </c>
      <c r="C10" s="12">
        <f>SUMIF('Quantities by Pole'!$E$4:$E$62,8,'Quantities by Pole'!$D$4:$D$62)</f>
        <v>53</v>
      </c>
      <c r="D10" s="13">
        <v>16000</v>
      </c>
      <c r="E10" s="11">
        <f>C10*D10</f>
        <v>848000</v>
      </c>
    </row>
    <row r="11" spans="1:5" x14ac:dyDescent="0.35">
      <c r="A11" s="4">
        <v>3</v>
      </c>
      <c r="B11" s="5" t="s">
        <v>15</v>
      </c>
      <c r="C11" s="6" t="s">
        <v>4</v>
      </c>
      <c r="D11" s="4" t="s">
        <v>16</v>
      </c>
      <c r="E11" s="5"/>
    </row>
    <row r="12" spans="1:5" x14ac:dyDescent="0.35">
      <c r="A12" s="7" t="s">
        <v>10</v>
      </c>
      <c r="B12" s="8" t="s">
        <v>169</v>
      </c>
      <c r="C12" s="12">
        <f>'Quantities by Pole'!H63</f>
        <v>4</v>
      </c>
      <c r="D12" s="13">
        <v>4500</v>
      </c>
      <c r="E12" s="11">
        <f>C12*D12</f>
        <v>18000</v>
      </c>
    </row>
    <row r="13" spans="1:5" x14ac:dyDescent="0.35">
      <c r="A13" s="7" t="s">
        <v>11</v>
      </c>
      <c r="B13" s="8" t="s">
        <v>17</v>
      </c>
      <c r="C13" s="12">
        <f>'Quantities by Pole'!G63</f>
        <v>38</v>
      </c>
      <c r="D13" s="13">
        <v>3500</v>
      </c>
      <c r="E13" s="11">
        <f>C13*D13</f>
        <v>133000</v>
      </c>
    </row>
    <row r="14" spans="1:5" x14ac:dyDescent="0.35">
      <c r="A14" s="4">
        <v>4</v>
      </c>
      <c r="B14" s="5" t="s">
        <v>18</v>
      </c>
      <c r="C14" s="6" t="s">
        <v>4</v>
      </c>
      <c r="D14" s="4" t="s">
        <v>13</v>
      </c>
      <c r="E14" s="5"/>
    </row>
    <row r="15" spans="1:5" x14ac:dyDescent="0.35">
      <c r="A15" s="7" t="s">
        <v>10</v>
      </c>
      <c r="B15" s="8" t="s">
        <v>19</v>
      </c>
      <c r="C15" s="12">
        <f>'Quantities by Pole'!I63</f>
        <v>43</v>
      </c>
      <c r="D15" s="13">
        <v>70</v>
      </c>
      <c r="E15" s="11">
        <f t="shared" ref="E15:E20" si="0">C15*D15</f>
        <v>3010</v>
      </c>
    </row>
    <row r="16" spans="1:5" x14ac:dyDescent="0.35">
      <c r="A16" s="7" t="s">
        <v>11</v>
      </c>
      <c r="B16" s="8" t="s">
        <v>20</v>
      </c>
      <c r="C16" s="12">
        <f>'Quantities by Pole'!J63</f>
        <v>106</v>
      </c>
      <c r="D16" s="13">
        <v>110</v>
      </c>
      <c r="E16" s="11">
        <f t="shared" si="0"/>
        <v>11660</v>
      </c>
    </row>
    <row r="17" spans="1:5" x14ac:dyDescent="0.35">
      <c r="A17" s="7" t="s">
        <v>21</v>
      </c>
      <c r="B17" s="8" t="s">
        <v>22</v>
      </c>
      <c r="C17" s="12">
        <f>'Quantities by Pole'!K63</f>
        <v>149</v>
      </c>
      <c r="D17" s="13">
        <v>280</v>
      </c>
      <c r="E17" s="11">
        <f t="shared" si="0"/>
        <v>41720</v>
      </c>
    </row>
    <row r="18" spans="1:5" x14ac:dyDescent="0.35">
      <c r="A18" s="7" t="s">
        <v>23</v>
      </c>
      <c r="B18" s="8" t="s">
        <v>24</v>
      </c>
      <c r="C18" s="12">
        <f>'Quantities by Pole'!L63</f>
        <v>12</v>
      </c>
      <c r="D18" s="13">
        <v>750</v>
      </c>
      <c r="E18" s="11">
        <f t="shared" si="0"/>
        <v>9000</v>
      </c>
    </row>
    <row r="19" spans="1:5" x14ac:dyDescent="0.35">
      <c r="A19" s="7" t="s">
        <v>25</v>
      </c>
      <c r="B19" s="8" t="s">
        <v>26</v>
      </c>
      <c r="C19" s="12">
        <f>'Quantities by Pole'!M63</f>
        <v>18</v>
      </c>
      <c r="D19" s="13">
        <v>2200</v>
      </c>
      <c r="E19" s="11">
        <f t="shared" si="0"/>
        <v>39600</v>
      </c>
    </row>
    <row r="20" spans="1:5" x14ac:dyDescent="0.35">
      <c r="A20" s="7" t="s">
        <v>27</v>
      </c>
      <c r="B20" s="8" t="s">
        <v>28</v>
      </c>
      <c r="C20" s="12">
        <f>'Quantities by Pole'!N63</f>
        <v>8</v>
      </c>
      <c r="D20" s="13">
        <v>3000</v>
      </c>
      <c r="E20" s="11">
        <f t="shared" si="0"/>
        <v>24000</v>
      </c>
    </row>
    <row r="21" spans="1:5" x14ac:dyDescent="0.35">
      <c r="A21" s="4">
        <v>5</v>
      </c>
      <c r="B21" s="5" t="s">
        <v>29</v>
      </c>
      <c r="C21" s="6" t="s">
        <v>4</v>
      </c>
      <c r="D21" s="4" t="s">
        <v>13</v>
      </c>
      <c r="E21" s="5"/>
    </row>
    <row r="22" spans="1:5" x14ac:dyDescent="0.35">
      <c r="A22" s="7" t="s">
        <v>10</v>
      </c>
      <c r="B22" s="8" t="s">
        <v>171</v>
      </c>
      <c r="C22" s="12">
        <f>'Quantities by Pole'!O63</f>
        <v>11</v>
      </c>
      <c r="D22" s="13">
        <v>1000</v>
      </c>
      <c r="E22" s="11">
        <f>C22*D22</f>
        <v>11000</v>
      </c>
    </row>
    <row r="23" spans="1:5" x14ac:dyDescent="0.35">
      <c r="A23" s="7" t="s">
        <v>11</v>
      </c>
      <c r="B23" s="8" t="s">
        <v>170</v>
      </c>
      <c r="C23" s="12">
        <f>'Quantities by Pole'!P63</f>
        <v>3</v>
      </c>
      <c r="D23" s="13">
        <v>3500</v>
      </c>
      <c r="E23" s="11">
        <f>C23*D23</f>
        <v>10500</v>
      </c>
    </row>
    <row r="24" spans="1:5" x14ac:dyDescent="0.35">
      <c r="A24" s="4">
        <v>6</v>
      </c>
      <c r="B24" s="5" t="s">
        <v>30</v>
      </c>
      <c r="C24" s="6" t="s">
        <v>4</v>
      </c>
      <c r="D24" s="4" t="s">
        <v>16</v>
      </c>
      <c r="E24" s="5"/>
    </row>
    <row r="25" spans="1:5" x14ac:dyDescent="0.35">
      <c r="A25" s="7" t="s">
        <v>10</v>
      </c>
      <c r="B25" s="8" t="s">
        <v>172</v>
      </c>
      <c r="C25" s="12">
        <f>'Quantities by Pole'!Q63</f>
        <v>12</v>
      </c>
      <c r="D25" s="13">
        <v>6000</v>
      </c>
      <c r="E25" s="11">
        <f>C25*D25</f>
        <v>72000</v>
      </c>
    </row>
    <row r="26" spans="1:5" x14ac:dyDescent="0.35">
      <c r="A26" s="4">
        <v>8</v>
      </c>
      <c r="B26" s="5" t="s">
        <v>31</v>
      </c>
      <c r="C26" s="6" t="s">
        <v>4</v>
      </c>
      <c r="D26" s="4" t="s">
        <v>13</v>
      </c>
      <c r="E26" s="5"/>
    </row>
    <row r="27" spans="1:5" x14ac:dyDescent="0.35">
      <c r="A27" s="7" t="s">
        <v>10</v>
      </c>
      <c r="B27" s="8" t="s">
        <v>32</v>
      </c>
      <c r="C27" s="15">
        <v>1</v>
      </c>
      <c r="D27" s="13">
        <v>280000</v>
      </c>
      <c r="E27" s="11">
        <f>C27*D27</f>
        <v>280000</v>
      </c>
    </row>
    <row r="28" spans="1:5" x14ac:dyDescent="0.35">
      <c r="A28" s="7" t="s">
        <v>11</v>
      </c>
      <c r="B28" s="8" t="s">
        <v>173</v>
      </c>
      <c r="C28" s="15">
        <v>1</v>
      </c>
      <c r="D28" s="13">
        <v>50000</v>
      </c>
      <c r="E28" s="11">
        <f>C28*D28</f>
        <v>50000</v>
      </c>
    </row>
    <row r="29" spans="1:5" x14ac:dyDescent="0.35">
      <c r="A29" s="7" t="s">
        <v>21</v>
      </c>
      <c r="B29" s="8" t="s">
        <v>33</v>
      </c>
      <c r="C29" s="15">
        <v>1</v>
      </c>
      <c r="D29" s="13">
        <v>18000</v>
      </c>
      <c r="E29" s="11">
        <f>C29*D29</f>
        <v>18000</v>
      </c>
    </row>
    <row r="30" spans="1:5" x14ac:dyDescent="0.35">
      <c r="A30" s="7" t="s">
        <v>23</v>
      </c>
      <c r="B30" s="8" t="s">
        <v>174</v>
      </c>
      <c r="C30" s="15">
        <v>1</v>
      </c>
      <c r="D30" s="13">
        <v>30000</v>
      </c>
      <c r="E30" s="11">
        <f>C30*D30</f>
        <v>30000</v>
      </c>
    </row>
    <row r="32" spans="1:5" x14ac:dyDescent="0.35">
      <c r="A32" s="16"/>
      <c r="B32" s="16" t="s">
        <v>34</v>
      </c>
      <c r="C32" s="17"/>
      <c r="D32" s="17"/>
      <c r="E32" s="18">
        <f>SUM(E6,E7,E9,E10,E12,E13,E15,E16,E17,E18,E19,E20,E22,E23,E25,E27,E28,E29,E30)</f>
        <v>2207808</v>
      </c>
    </row>
    <row r="33" spans="1:5" x14ac:dyDescent="0.35">
      <c r="A33" s="16"/>
      <c r="B33" s="16" t="s">
        <v>35</v>
      </c>
      <c r="C33" s="19">
        <v>0.2</v>
      </c>
      <c r="D33" s="17"/>
      <c r="E33" s="18">
        <f>C33*E32</f>
        <v>441561.60000000003</v>
      </c>
    </row>
    <row r="34" spans="1:5" x14ac:dyDescent="0.35">
      <c r="A34" s="16"/>
      <c r="B34" s="16" t="s">
        <v>36</v>
      </c>
      <c r="C34" s="19">
        <v>0.1</v>
      </c>
      <c r="D34" s="17"/>
      <c r="E34" s="18">
        <f>C34*E32</f>
        <v>220780.80000000002</v>
      </c>
    </row>
    <row r="35" spans="1:5" x14ac:dyDescent="0.35">
      <c r="A35" s="16"/>
      <c r="B35" s="16" t="s">
        <v>37</v>
      </c>
      <c r="C35" s="17"/>
      <c r="D35" s="17"/>
      <c r="E35" s="18">
        <f>E32+E33+E34</f>
        <v>2870150.4</v>
      </c>
    </row>
    <row r="36" spans="1:5" x14ac:dyDescent="0.35">
      <c r="A36" s="16"/>
      <c r="B36" s="16" t="s">
        <v>38</v>
      </c>
      <c r="C36" s="19">
        <v>0.13</v>
      </c>
      <c r="D36" s="17"/>
      <c r="E36" s="18">
        <f>C36*E35</f>
        <v>373119.55200000003</v>
      </c>
    </row>
    <row r="37" spans="1:5" x14ac:dyDescent="0.35">
      <c r="A37" s="16"/>
      <c r="B37" s="16" t="s">
        <v>39</v>
      </c>
      <c r="C37" s="17"/>
      <c r="D37" s="17"/>
      <c r="E37" s="18">
        <f>E35+E36</f>
        <v>3243269.952</v>
      </c>
    </row>
    <row r="38" spans="1:5" x14ac:dyDescent="0.35">
      <c r="A38" s="16"/>
      <c r="B38" s="16" t="s">
        <v>40</v>
      </c>
      <c r="C38" s="19">
        <v>0.05</v>
      </c>
      <c r="D38" s="17"/>
      <c r="E38" s="18">
        <f>C38*E37</f>
        <v>162163.4976</v>
      </c>
    </row>
    <row r="39" spans="1:5" x14ac:dyDescent="0.35">
      <c r="A39" s="16"/>
      <c r="B39" s="16" t="s">
        <v>41</v>
      </c>
      <c r="C39" s="17"/>
      <c r="D39" s="17"/>
      <c r="E39" s="18">
        <f>E37+E38</f>
        <v>3405433.4495999999</v>
      </c>
    </row>
    <row r="41" spans="1:5" x14ac:dyDescent="0.35">
      <c r="B41" s="5" t="s">
        <v>42</v>
      </c>
      <c r="E41" s="20">
        <f>E39/68</f>
        <v>50079.903670588232</v>
      </c>
    </row>
    <row r="42" spans="1:5" x14ac:dyDescent="0.35">
      <c r="B42" s="5" t="s">
        <v>43</v>
      </c>
      <c r="C42" s="14">
        <f>Conductors!E16/1000</f>
        <v>1.75</v>
      </c>
      <c r="E42" s="20">
        <f>E39/C42</f>
        <v>1945961.9712</v>
      </c>
    </row>
    <row r="44" spans="1:5" x14ac:dyDescent="0.35">
      <c r="A44" s="21" t="s">
        <v>44</v>
      </c>
    </row>
    <row r="45" spans="1:5" x14ac:dyDescent="0.35">
      <c r="A45" s="22" t="s">
        <v>45</v>
      </c>
    </row>
    <row r="46" spans="1:5" x14ac:dyDescent="0.35">
      <c r="A46" s="22" t="s">
        <v>46</v>
      </c>
    </row>
    <row r="47" spans="1:5" x14ac:dyDescent="0.35">
      <c r="A47" s="22" t="s">
        <v>47</v>
      </c>
    </row>
    <row r="48" spans="1:5" x14ac:dyDescent="0.35">
      <c r="A48" s="22" t="s">
        <v>48</v>
      </c>
    </row>
    <row r="49" spans="1:1" x14ac:dyDescent="0.35">
      <c r="A49" s="22" t="s">
        <v>49</v>
      </c>
    </row>
  </sheetData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0"/>
  <sheetViews>
    <sheetView showGridLines="0" zoomScaleNormal="100" workbookViewId="0">
      <selection activeCell="A2" sqref="A2"/>
    </sheetView>
  </sheetViews>
  <sheetFormatPr defaultColWidth="8.6328125" defaultRowHeight="14.5" x14ac:dyDescent="0.35"/>
  <cols>
    <col min="1" max="2" width="8" customWidth="1"/>
    <col min="3" max="3" width="13" customWidth="1"/>
    <col min="4" max="5" width="11" customWidth="1"/>
    <col min="6" max="6" width="9" customWidth="1"/>
    <col min="7" max="7" width="11" customWidth="1"/>
    <col min="8" max="8" width="13" customWidth="1"/>
    <col min="9" max="9" width="15" customWidth="1"/>
  </cols>
  <sheetData>
    <row r="1" spans="1:9" ht="16.5" x14ac:dyDescent="0.35">
      <c r="A1" s="1" t="s">
        <v>176</v>
      </c>
    </row>
    <row r="2" spans="1:9" x14ac:dyDescent="0.35">
      <c r="A2" s="23" t="s">
        <v>50</v>
      </c>
      <c r="F2" s="24">
        <v>1.1000000000000001</v>
      </c>
    </row>
    <row r="4" spans="1:9" ht="31.5" customHeight="1" x14ac:dyDescent="0.35">
      <c r="A4" s="3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</row>
    <row r="5" spans="1:9" x14ac:dyDescent="0.35">
      <c r="A5" s="25" t="s">
        <v>60</v>
      </c>
      <c r="B5" s="25" t="s">
        <v>61</v>
      </c>
      <c r="C5" s="5" t="s">
        <v>62</v>
      </c>
      <c r="D5" s="26" t="s">
        <v>63</v>
      </c>
      <c r="E5" s="10">
        <v>269</v>
      </c>
      <c r="F5" s="27">
        <v>3</v>
      </c>
      <c r="G5" s="26" t="s">
        <v>64</v>
      </c>
      <c r="H5" s="28">
        <f t="shared" ref="H5:H15" si="0">E5*$F$2</f>
        <v>295.90000000000003</v>
      </c>
      <c r="I5" s="29">
        <f t="shared" ref="I5:I15" si="1">H5*F5/1000</f>
        <v>0.88770000000000004</v>
      </c>
    </row>
    <row r="6" spans="1:9" x14ac:dyDescent="0.35">
      <c r="A6" s="25" t="s">
        <v>61</v>
      </c>
      <c r="B6" s="25" t="s">
        <v>65</v>
      </c>
      <c r="C6" s="5" t="s">
        <v>66</v>
      </c>
      <c r="D6" s="26" t="s">
        <v>67</v>
      </c>
      <c r="E6" s="10">
        <v>264</v>
      </c>
      <c r="F6" s="27">
        <v>3</v>
      </c>
      <c r="G6" s="26" t="s">
        <v>64</v>
      </c>
      <c r="H6" s="28">
        <f t="shared" si="0"/>
        <v>290.40000000000003</v>
      </c>
      <c r="I6" s="29">
        <f t="shared" si="1"/>
        <v>0.87120000000000009</v>
      </c>
    </row>
    <row r="7" spans="1:9" x14ac:dyDescent="0.35">
      <c r="A7" s="25" t="s">
        <v>65</v>
      </c>
      <c r="B7" s="25" t="s">
        <v>68</v>
      </c>
      <c r="C7" s="5" t="s">
        <v>69</v>
      </c>
      <c r="D7" s="26" t="s">
        <v>70</v>
      </c>
      <c r="E7" s="10">
        <v>131</v>
      </c>
      <c r="F7" s="27">
        <v>2</v>
      </c>
      <c r="G7" s="26" t="s">
        <v>64</v>
      </c>
      <c r="H7" s="28">
        <f t="shared" si="0"/>
        <v>144.10000000000002</v>
      </c>
      <c r="I7" s="29">
        <f t="shared" si="1"/>
        <v>0.28820000000000007</v>
      </c>
    </row>
    <row r="8" spans="1:9" x14ac:dyDescent="0.35">
      <c r="A8" s="25" t="s">
        <v>65</v>
      </c>
      <c r="B8" s="25" t="s">
        <v>71</v>
      </c>
      <c r="C8" s="5" t="s">
        <v>72</v>
      </c>
      <c r="D8" s="26" t="s">
        <v>73</v>
      </c>
      <c r="E8" s="10">
        <v>200</v>
      </c>
      <c r="F8" s="27">
        <v>2</v>
      </c>
      <c r="G8" s="26" t="s">
        <v>64</v>
      </c>
      <c r="H8" s="28">
        <f t="shared" si="0"/>
        <v>220.00000000000003</v>
      </c>
      <c r="I8" s="29">
        <f t="shared" si="1"/>
        <v>0.44000000000000006</v>
      </c>
    </row>
    <row r="9" spans="1:9" x14ac:dyDescent="0.35">
      <c r="A9" s="25" t="s">
        <v>61</v>
      </c>
      <c r="B9" s="25" t="s">
        <v>74</v>
      </c>
      <c r="C9" s="5" t="s">
        <v>75</v>
      </c>
      <c r="D9" s="26" t="s">
        <v>70</v>
      </c>
      <c r="E9" s="10">
        <v>164</v>
      </c>
      <c r="F9" s="27">
        <v>2</v>
      </c>
      <c r="G9" s="26" t="s">
        <v>64</v>
      </c>
      <c r="H9" s="28">
        <f t="shared" si="0"/>
        <v>180.4</v>
      </c>
      <c r="I9" s="29">
        <f t="shared" si="1"/>
        <v>0.36080000000000001</v>
      </c>
    </row>
    <row r="10" spans="1:9" x14ac:dyDescent="0.35">
      <c r="A10" s="25" t="s">
        <v>61</v>
      </c>
      <c r="B10" s="25" t="s">
        <v>76</v>
      </c>
      <c r="C10" s="5" t="s">
        <v>77</v>
      </c>
      <c r="D10" s="26" t="s">
        <v>78</v>
      </c>
      <c r="E10" s="10">
        <v>148</v>
      </c>
      <c r="F10" s="27">
        <v>2</v>
      </c>
      <c r="G10" s="26" t="s">
        <v>64</v>
      </c>
      <c r="H10" s="28">
        <f t="shared" si="0"/>
        <v>162.80000000000001</v>
      </c>
      <c r="I10" s="29">
        <f t="shared" si="1"/>
        <v>0.3256</v>
      </c>
    </row>
    <row r="11" spans="1:9" x14ac:dyDescent="0.35">
      <c r="A11" s="25" t="s">
        <v>79</v>
      </c>
      <c r="B11" s="25" t="s">
        <v>80</v>
      </c>
      <c r="C11" s="5" t="s">
        <v>81</v>
      </c>
      <c r="D11" s="26" t="s">
        <v>78</v>
      </c>
      <c r="E11" s="10">
        <v>107</v>
      </c>
      <c r="F11" s="27">
        <v>2</v>
      </c>
      <c r="G11" s="26" t="s">
        <v>64</v>
      </c>
      <c r="H11" s="28">
        <f t="shared" si="0"/>
        <v>117.7</v>
      </c>
      <c r="I11" s="29">
        <f t="shared" si="1"/>
        <v>0.2354</v>
      </c>
    </row>
    <row r="12" spans="1:9" x14ac:dyDescent="0.35">
      <c r="A12" s="25" t="s">
        <v>61</v>
      </c>
      <c r="B12" s="25" t="s">
        <v>82</v>
      </c>
      <c r="C12" s="5" t="s">
        <v>83</v>
      </c>
      <c r="D12" s="26" t="s">
        <v>84</v>
      </c>
      <c r="E12" s="10">
        <v>191</v>
      </c>
      <c r="F12" s="27">
        <v>3</v>
      </c>
      <c r="G12" s="26" t="s">
        <v>85</v>
      </c>
      <c r="H12" s="28">
        <f t="shared" si="0"/>
        <v>210.10000000000002</v>
      </c>
      <c r="I12" s="29">
        <f t="shared" si="1"/>
        <v>0.63030000000000008</v>
      </c>
    </row>
    <row r="13" spans="1:9" x14ac:dyDescent="0.35">
      <c r="A13" s="25" t="s">
        <v>82</v>
      </c>
      <c r="B13" s="25" t="s">
        <v>86</v>
      </c>
      <c r="C13" s="5" t="s">
        <v>87</v>
      </c>
      <c r="D13" s="26" t="s">
        <v>78</v>
      </c>
      <c r="E13" s="10">
        <v>116</v>
      </c>
      <c r="F13" s="27">
        <v>2</v>
      </c>
      <c r="G13" s="26" t="s">
        <v>64</v>
      </c>
      <c r="H13" s="28">
        <f t="shared" si="0"/>
        <v>127.60000000000001</v>
      </c>
      <c r="I13" s="29">
        <f t="shared" si="1"/>
        <v>0.25520000000000004</v>
      </c>
    </row>
    <row r="14" spans="1:9" x14ac:dyDescent="0.35">
      <c r="A14" s="25" t="s">
        <v>82</v>
      </c>
      <c r="B14" s="25" t="s">
        <v>88</v>
      </c>
      <c r="C14" s="5" t="s">
        <v>89</v>
      </c>
      <c r="D14" s="26" t="s">
        <v>73</v>
      </c>
      <c r="E14" s="10">
        <v>127</v>
      </c>
      <c r="F14" s="27">
        <v>2</v>
      </c>
      <c r="G14" s="26" t="s">
        <v>64</v>
      </c>
      <c r="H14" s="28">
        <f t="shared" si="0"/>
        <v>139.70000000000002</v>
      </c>
      <c r="I14" s="29">
        <f t="shared" si="1"/>
        <v>0.27940000000000004</v>
      </c>
    </row>
    <row r="15" spans="1:9" x14ac:dyDescent="0.35">
      <c r="A15" s="25" t="s">
        <v>90</v>
      </c>
      <c r="B15" s="25" t="s">
        <v>91</v>
      </c>
      <c r="C15" s="5" t="s">
        <v>92</v>
      </c>
      <c r="D15" s="26" t="s">
        <v>73</v>
      </c>
      <c r="E15" s="10">
        <v>33</v>
      </c>
      <c r="F15" s="27">
        <v>2</v>
      </c>
      <c r="G15" s="26" t="s">
        <v>64</v>
      </c>
      <c r="H15" s="28">
        <f t="shared" si="0"/>
        <v>36.300000000000004</v>
      </c>
      <c r="I15" s="29">
        <f t="shared" si="1"/>
        <v>7.2600000000000012E-2</v>
      </c>
    </row>
    <row r="16" spans="1:9" x14ac:dyDescent="0.35">
      <c r="A16" s="16"/>
      <c r="B16" s="16"/>
      <c r="C16" s="16" t="s">
        <v>93</v>
      </c>
      <c r="D16" s="16"/>
      <c r="E16" s="18">
        <f>SUM(E5:E15)</f>
        <v>1750</v>
      </c>
      <c r="F16" s="16"/>
      <c r="G16" s="16"/>
      <c r="H16" s="30">
        <f>SUM(H5:H15)</f>
        <v>1925</v>
      </c>
      <c r="I16" s="31">
        <f>SUM(I5:I15)</f>
        <v>4.6464000000000008</v>
      </c>
    </row>
    <row r="17" spans="1:9" x14ac:dyDescent="0.35">
      <c r="C17" s="32" t="s">
        <v>94</v>
      </c>
      <c r="G17" s="32" t="s">
        <v>64</v>
      </c>
      <c r="I17" s="33">
        <f>SUMIF($G$5:$G$15,G17,$I$5:$I$15)</f>
        <v>4.0160999999999998</v>
      </c>
    </row>
    <row r="18" spans="1:9" x14ac:dyDescent="0.35">
      <c r="C18" s="32" t="s">
        <v>95</v>
      </c>
      <c r="G18" s="32" t="s">
        <v>85</v>
      </c>
      <c r="I18" s="33">
        <f>SUMIF($G$5:$G$15,G18,$I$5:$I$15)</f>
        <v>0.63030000000000008</v>
      </c>
    </row>
    <row r="20" spans="1:9" x14ac:dyDescent="0.35">
      <c r="A20" s="2" t="s">
        <v>175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69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" sqref="A2"/>
    </sheetView>
  </sheetViews>
  <sheetFormatPr defaultColWidth="8.6328125" defaultRowHeight="14.5" x14ac:dyDescent="0.35"/>
  <cols>
    <col min="1" max="1" width="8" customWidth="1"/>
    <col min="2" max="2" width="12" customWidth="1"/>
    <col min="3" max="3" width="15" customWidth="1"/>
    <col min="4" max="5" width="7" customWidth="1"/>
    <col min="6" max="6" width="6" customWidth="1"/>
    <col min="7" max="8" width="7" customWidth="1"/>
    <col min="9" max="9" width="8.81640625" customWidth="1"/>
    <col min="10" max="10" width="8" customWidth="1"/>
    <col min="11" max="11" width="7" customWidth="1"/>
    <col min="12" max="12" width="9.36328125" customWidth="1"/>
    <col min="13" max="14" width="8" customWidth="1"/>
    <col min="15" max="16" width="7" customWidth="1"/>
    <col min="17" max="17" width="8" customWidth="1"/>
  </cols>
  <sheetData>
    <row r="1" spans="1:17" ht="16.5" x14ac:dyDescent="0.35">
      <c r="A1" s="1" t="s">
        <v>177</v>
      </c>
    </row>
    <row r="3" spans="1:17" ht="43.5" customHeight="1" x14ac:dyDescent="0.35">
      <c r="A3" s="3" t="s">
        <v>96</v>
      </c>
      <c r="B3" s="3" t="s">
        <v>53</v>
      </c>
      <c r="C3" s="3" t="s">
        <v>97</v>
      </c>
      <c r="D3" s="3" t="s">
        <v>98</v>
      </c>
      <c r="E3" s="3" t="s">
        <v>99</v>
      </c>
      <c r="F3" s="3" t="s">
        <v>100</v>
      </c>
      <c r="G3" s="3" t="s">
        <v>101</v>
      </c>
      <c r="H3" s="3" t="s">
        <v>102</v>
      </c>
      <c r="I3" s="3" t="s">
        <v>103</v>
      </c>
      <c r="J3" s="3" t="s">
        <v>104</v>
      </c>
      <c r="K3" s="3" t="s">
        <v>105</v>
      </c>
      <c r="L3" s="3" t="s">
        <v>106</v>
      </c>
      <c r="M3" s="3" t="s">
        <v>107</v>
      </c>
      <c r="N3" s="3" t="s">
        <v>108</v>
      </c>
      <c r="O3" s="3" t="s">
        <v>109</v>
      </c>
      <c r="P3" s="3" t="s">
        <v>110</v>
      </c>
      <c r="Q3" s="3" t="s">
        <v>111</v>
      </c>
    </row>
    <row r="4" spans="1:17" x14ac:dyDescent="0.35">
      <c r="A4" s="5" t="s">
        <v>60</v>
      </c>
      <c r="B4" s="25" t="s">
        <v>62</v>
      </c>
      <c r="C4" s="25" t="s">
        <v>112</v>
      </c>
      <c r="D4" s="34">
        <v>1</v>
      </c>
      <c r="E4" s="34">
        <v>11</v>
      </c>
      <c r="F4" s="34">
        <v>3</v>
      </c>
      <c r="G4" s="34">
        <v>0</v>
      </c>
      <c r="H4" s="34">
        <v>1</v>
      </c>
      <c r="I4" s="34">
        <v>0</v>
      </c>
      <c r="J4" s="34">
        <v>0</v>
      </c>
      <c r="K4" s="35">
        <f t="shared" ref="K4:K35" si="0">I4+J4</f>
        <v>0</v>
      </c>
      <c r="L4" s="34">
        <v>0</v>
      </c>
      <c r="M4" s="34">
        <v>3</v>
      </c>
      <c r="N4" s="34">
        <v>1</v>
      </c>
      <c r="O4" s="34">
        <v>0</v>
      </c>
      <c r="P4" s="34">
        <v>0</v>
      </c>
      <c r="Q4" s="34">
        <v>1</v>
      </c>
    </row>
    <row r="5" spans="1:17" x14ac:dyDescent="0.35">
      <c r="A5" s="5" t="s">
        <v>113</v>
      </c>
      <c r="B5" s="25" t="s">
        <v>62</v>
      </c>
      <c r="C5" s="25" t="s">
        <v>112</v>
      </c>
      <c r="D5" s="34">
        <v>1</v>
      </c>
      <c r="E5" s="34">
        <v>11</v>
      </c>
      <c r="F5" s="34">
        <v>3</v>
      </c>
      <c r="G5" s="34">
        <v>0</v>
      </c>
      <c r="H5" s="34">
        <v>1</v>
      </c>
      <c r="I5" s="34">
        <v>0</v>
      </c>
      <c r="J5" s="34">
        <v>0</v>
      </c>
      <c r="K5" s="35">
        <f t="shared" si="0"/>
        <v>0</v>
      </c>
      <c r="L5" s="34">
        <v>3</v>
      </c>
      <c r="M5" s="34">
        <v>6</v>
      </c>
      <c r="N5" s="34">
        <v>2</v>
      </c>
      <c r="O5" s="34">
        <v>0</v>
      </c>
      <c r="P5" s="34">
        <v>0</v>
      </c>
      <c r="Q5" s="34">
        <v>0</v>
      </c>
    </row>
    <row r="6" spans="1:17" x14ac:dyDescent="0.35">
      <c r="A6" s="5" t="s">
        <v>114</v>
      </c>
      <c r="B6" s="25" t="s">
        <v>62</v>
      </c>
      <c r="C6" s="25" t="s">
        <v>112</v>
      </c>
      <c r="D6" s="34">
        <v>1</v>
      </c>
      <c r="E6" s="34">
        <v>11</v>
      </c>
      <c r="F6" s="34">
        <v>3</v>
      </c>
      <c r="G6" s="34">
        <v>0</v>
      </c>
      <c r="H6" s="34">
        <v>0</v>
      </c>
      <c r="I6" s="34">
        <v>0</v>
      </c>
      <c r="J6" s="34">
        <v>0</v>
      </c>
      <c r="K6" s="35">
        <f t="shared" si="0"/>
        <v>0</v>
      </c>
      <c r="L6" s="34">
        <v>3</v>
      </c>
      <c r="M6" s="34">
        <v>0</v>
      </c>
      <c r="N6" s="34">
        <v>1</v>
      </c>
      <c r="O6" s="34">
        <v>0</v>
      </c>
      <c r="P6" s="34">
        <v>0</v>
      </c>
      <c r="Q6" s="34">
        <v>0</v>
      </c>
    </row>
    <row r="7" spans="1:17" x14ac:dyDescent="0.35">
      <c r="A7" s="5" t="s">
        <v>115</v>
      </c>
      <c r="B7" s="25" t="s">
        <v>62</v>
      </c>
      <c r="C7" s="25" t="s">
        <v>112</v>
      </c>
      <c r="D7" s="34">
        <v>1</v>
      </c>
      <c r="E7" s="34">
        <v>11</v>
      </c>
      <c r="F7" s="34">
        <v>3</v>
      </c>
      <c r="G7" s="34">
        <v>0</v>
      </c>
      <c r="H7" s="34">
        <v>0</v>
      </c>
      <c r="I7" s="34">
        <v>0</v>
      </c>
      <c r="J7" s="34">
        <v>0</v>
      </c>
      <c r="K7" s="35">
        <f t="shared" si="0"/>
        <v>0</v>
      </c>
      <c r="L7" s="34">
        <v>3</v>
      </c>
      <c r="M7" s="34">
        <v>0</v>
      </c>
      <c r="N7" s="34">
        <v>1</v>
      </c>
      <c r="O7" s="34">
        <v>0</v>
      </c>
      <c r="P7" s="34">
        <v>0</v>
      </c>
      <c r="Q7" s="34">
        <v>0</v>
      </c>
    </row>
    <row r="8" spans="1:17" x14ac:dyDescent="0.35">
      <c r="A8" s="5" t="s">
        <v>116</v>
      </c>
      <c r="B8" s="25" t="s">
        <v>62</v>
      </c>
      <c r="C8" s="25" t="s">
        <v>112</v>
      </c>
      <c r="D8" s="34">
        <v>1</v>
      </c>
      <c r="E8" s="34">
        <v>11</v>
      </c>
      <c r="F8" s="34">
        <v>3</v>
      </c>
      <c r="G8" s="34">
        <v>0</v>
      </c>
      <c r="H8" s="34">
        <v>1</v>
      </c>
      <c r="I8" s="34">
        <v>0</v>
      </c>
      <c r="J8" s="34">
        <v>0</v>
      </c>
      <c r="K8" s="35">
        <f t="shared" si="0"/>
        <v>0</v>
      </c>
      <c r="L8" s="34">
        <v>3</v>
      </c>
      <c r="M8" s="34">
        <v>6</v>
      </c>
      <c r="N8" s="34">
        <v>2</v>
      </c>
      <c r="O8" s="34">
        <v>0</v>
      </c>
      <c r="P8" s="34">
        <v>0</v>
      </c>
      <c r="Q8" s="34">
        <v>0</v>
      </c>
    </row>
    <row r="9" spans="1:17" x14ac:dyDescent="0.35">
      <c r="A9" s="5" t="s">
        <v>61</v>
      </c>
      <c r="B9" s="25" t="s">
        <v>117</v>
      </c>
      <c r="C9" s="25" t="s">
        <v>118</v>
      </c>
      <c r="D9" s="34">
        <v>2</v>
      </c>
      <c r="E9" s="34">
        <v>11</v>
      </c>
      <c r="F9" s="34">
        <v>3</v>
      </c>
      <c r="G9" s="34">
        <v>0</v>
      </c>
      <c r="H9" s="34">
        <v>1</v>
      </c>
      <c r="I9" s="34">
        <v>0</v>
      </c>
      <c r="J9" s="34">
        <v>10</v>
      </c>
      <c r="K9" s="35">
        <f t="shared" si="0"/>
        <v>10</v>
      </c>
      <c r="L9" s="34">
        <v>0</v>
      </c>
      <c r="M9" s="34">
        <v>3</v>
      </c>
      <c r="N9" s="34">
        <v>1</v>
      </c>
      <c r="O9" s="34">
        <v>3</v>
      </c>
      <c r="P9" s="34">
        <v>3</v>
      </c>
      <c r="Q9" s="34">
        <v>3</v>
      </c>
    </row>
    <row r="10" spans="1:17" x14ac:dyDescent="0.35">
      <c r="A10" s="5" t="s">
        <v>119</v>
      </c>
      <c r="B10" s="25" t="s">
        <v>66</v>
      </c>
      <c r="C10" s="25" t="s">
        <v>120</v>
      </c>
      <c r="D10" s="34">
        <v>1</v>
      </c>
      <c r="E10" s="34">
        <v>8</v>
      </c>
      <c r="F10" s="34">
        <v>3</v>
      </c>
      <c r="G10" s="34">
        <v>0</v>
      </c>
      <c r="H10" s="34">
        <v>0</v>
      </c>
      <c r="I10" s="34">
        <v>3</v>
      </c>
      <c r="J10" s="34">
        <v>0</v>
      </c>
      <c r="K10" s="35">
        <f t="shared" si="0"/>
        <v>3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</row>
    <row r="11" spans="1:17" x14ac:dyDescent="0.35">
      <c r="A11" s="5" t="s">
        <v>121</v>
      </c>
      <c r="B11" s="25" t="s">
        <v>66</v>
      </c>
      <c r="C11" s="25" t="s">
        <v>120</v>
      </c>
      <c r="D11" s="34">
        <v>1</v>
      </c>
      <c r="E11" s="34">
        <v>8</v>
      </c>
      <c r="F11" s="34">
        <v>3</v>
      </c>
      <c r="G11" s="34">
        <v>0</v>
      </c>
      <c r="H11" s="34">
        <v>0</v>
      </c>
      <c r="I11" s="34">
        <v>3</v>
      </c>
      <c r="J11" s="34">
        <v>0</v>
      </c>
      <c r="K11" s="35">
        <f t="shared" si="0"/>
        <v>3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</row>
    <row r="12" spans="1:17" x14ac:dyDescent="0.35">
      <c r="A12" s="5" t="s">
        <v>122</v>
      </c>
      <c r="B12" s="25" t="s">
        <v>66</v>
      </c>
      <c r="C12" s="25" t="s">
        <v>120</v>
      </c>
      <c r="D12" s="34">
        <v>1</v>
      </c>
      <c r="E12" s="34">
        <v>8</v>
      </c>
      <c r="F12" s="34">
        <v>3</v>
      </c>
      <c r="G12" s="34">
        <v>1</v>
      </c>
      <c r="H12" s="34">
        <v>0</v>
      </c>
      <c r="I12" s="34">
        <v>0</v>
      </c>
      <c r="J12" s="34">
        <v>3</v>
      </c>
      <c r="K12" s="35">
        <f t="shared" si="0"/>
        <v>3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</row>
    <row r="13" spans="1:17" x14ac:dyDescent="0.35">
      <c r="A13" s="5" t="s">
        <v>123</v>
      </c>
      <c r="B13" s="25" t="s">
        <v>66</v>
      </c>
      <c r="C13" s="25" t="s">
        <v>120</v>
      </c>
      <c r="D13" s="34">
        <v>1</v>
      </c>
      <c r="E13" s="34">
        <v>8</v>
      </c>
      <c r="F13" s="34">
        <v>3</v>
      </c>
      <c r="G13" s="34">
        <v>1</v>
      </c>
      <c r="H13" s="34">
        <v>0</v>
      </c>
      <c r="I13" s="34">
        <v>0</v>
      </c>
      <c r="J13" s="34">
        <v>3</v>
      </c>
      <c r="K13" s="35">
        <f t="shared" si="0"/>
        <v>3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</row>
    <row r="14" spans="1:17" x14ac:dyDescent="0.35">
      <c r="A14" s="5" t="s">
        <v>124</v>
      </c>
      <c r="B14" s="25" t="s">
        <v>66</v>
      </c>
      <c r="C14" s="25" t="s">
        <v>120</v>
      </c>
      <c r="D14" s="34">
        <v>1</v>
      </c>
      <c r="E14" s="34">
        <v>8</v>
      </c>
      <c r="F14" s="34">
        <v>3</v>
      </c>
      <c r="G14" s="34">
        <v>1</v>
      </c>
      <c r="H14" s="34">
        <v>0</v>
      </c>
      <c r="I14" s="34">
        <v>0</v>
      </c>
      <c r="J14" s="34">
        <v>3</v>
      </c>
      <c r="K14" s="35">
        <f t="shared" si="0"/>
        <v>3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</row>
    <row r="15" spans="1:17" x14ac:dyDescent="0.35">
      <c r="A15" s="5" t="s">
        <v>125</v>
      </c>
      <c r="B15" s="25" t="s">
        <v>66</v>
      </c>
      <c r="C15" s="25" t="s">
        <v>120</v>
      </c>
      <c r="D15" s="34">
        <v>1</v>
      </c>
      <c r="E15" s="34">
        <v>8</v>
      </c>
      <c r="F15" s="34">
        <v>3</v>
      </c>
      <c r="G15" s="34">
        <v>1</v>
      </c>
      <c r="H15" s="34">
        <v>0</v>
      </c>
      <c r="I15" s="34">
        <v>0</v>
      </c>
      <c r="J15" s="34">
        <v>3</v>
      </c>
      <c r="K15" s="35">
        <f t="shared" si="0"/>
        <v>3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</row>
    <row r="16" spans="1:17" x14ac:dyDescent="0.35">
      <c r="A16" s="5" t="s">
        <v>126</v>
      </c>
      <c r="B16" s="25" t="s">
        <v>66</v>
      </c>
      <c r="C16" s="25" t="s">
        <v>120</v>
      </c>
      <c r="D16" s="34">
        <v>1</v>
      </c>
      <c r="E16" s="34">
        <v>8</v>
      </c>
      <c r="F16" s="34">
        <v>3</v>
      </c>
      <c r="G16" s="34">
        <v>2</v>
      </c>
      <c r="H16" s="34">
        <v>0</v>
      </c>
      <c r="I16" s="34">
        <v>0</v>
      </c>
      <c r="J16" s="34">
        <v>6</v>
      </c>
      <c r="K16" s="35">
        <f t="shared" si="0"/>
        <v>6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</row>
    <row r="17" spans="1:17" x14ac:dyDescent="0.35">
      <c r="A17" s="5" t="s">
        <v>65</v>
      </c>
      <c r="B17" s="25" t="s">
        <v>66</v>
      </c>
      <c r="C17" s="25" t="s">
        <v>120</v>
      </c>
      <c r="D17" s="34">
        <v>1</v>
      </c>
      <c r="E17" s="34">
        <v>8</v>
      </c>
      <c r="F17" s="34">
        <v>3</v>
      </c>
      <c r="G17" s="34">
        <v>1</v>
      </c>
      <c r="H17" s="34">
        <v>0</v>
      </c>
      <c r="I17" s="34">
        <v>0</v>
      </c>
      <c r="J17" s="34">
        <v>7</v>
      </c>
      <c r="K17" s="35">
        <f t="shared" si="0"/>
        <v>7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</row>
    <row r="18" spans="1:17" x14ac:dyDescent="0.35">
      <c r="A18" s="5" t="s">
        <v>127</v>
      </c>
      <c r="B18" s="25" t="s">
        <v>69</v>
      </c>
      <c r="C18" s="25" t="s">
        <v>120</v>
      </c>
      <c r="D18" s="34">
        <v>1</v>
      </c>
      <c r="E18" s="34">
        <v>8</v>
      </c>
      <c r="F18" s="34">
        <v>2</v>
      </c>
      <c r="G18" s="34">
        <v>1</v>
      </c>
      <c r="H18" s="34">
        <v>0</v>
      </c>
      <c r="I18" s="34">
        <v>0</v>
      </c>
      <c r="J18" s="34">
        <v>2</v>
      </c>
      <c r="K18" s="35">
        <f t="shared" si="0"/>
        <v>2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</row>
    <row r="19" spans="1:17" x14ac:dyDescent="0.35">
      <c r="A19" s="5" t="s">
        <v>128</v>
      </c>
      <c r="B19" s="25" t="s">
        <v>69</v>
      </c>
      <c r="C19" s="25" t="s">
        <v>120</v>
      </c>
      <c r="D19" s="34">
        <v>1</v>
      </c>
      <c r="E19" s="34">
        <v>8</v>
      </c>
      <c r="F19" s="34">
        <v>2</v>
      </c>
      <c r="G19" s="34">
        <v>1</v>
      </c>
      <c r="H19" s="34">
        <v>0</v>
      </c>
      <c r="I19" s="34">
        <v>0</v>
      </c>
      <c r="J19" s="34">
        <v>2</v>
      </c>
      <c r="K19" s="35">
        <f t="shared" si="0"/>
        <v>2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</row>
    <row r="20" spans="1:17" x14ac:dyDescent="0.35">
      <c r="A20" s="5" t="s">
        <v>129</v>
      </c>
      <c r="B20" s="25" t="s">
        <v>69</v>
      </c>
      <c r="C20" s="25" t="s">
        <v>120</v>
      </c>
      <c r="D20" s="34">
        <v>1</v>
      </c>
      <c r="E20" s="34">
        <v>8</v>
      </c>
      <c r="F20" s="34">
        <v>2</v>
      </c>
      <c r="G20" s="34">
        <v>1</v>
      </c>
      <c r="H20" s="34">
        <v>0</v>
      </c>
      <c r="I20" s="34">
        <v>0</v>
      </c>
      <c r="J20" s="34">
        <v>2</v>
      </c>
      <c r="K20" s="35">
        <f t="shared" si="0"/>
        <v>2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</row>
    <row r="21" spans="1:17" x14ac:dyDescent="0.35">
      <c r="A21" s="5" t="s">
        <v>130</v>
      </c>
      <c r="B21" s="25" t="s">
        <v>69</v>
      </c>
      <c r="C21" s="25" t="s">
        <v>120</v>
      </c>
      <c r="D21" s="34">
        <v>1</v>
      </c>
      <c r="E21" s="34">
        <v>8</v>
      </c>
      <c r="F21" s="34">
        <v>2</v>
      </c>
      <c r="G21" s="34">
        <v>0</v>
      </c>
      <c r="H21" s="34">
        <v>0</v>
      </c>
      <c r="I21" s="34">
        <v>2</v>
      </c>
      <c r="J21" s="34">
        <v>0</v>
      </c>
      <c r="K21" s="35">
        <f t="shared" si="0"/>
        <v>2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</row>
    <row r="22" spans="1:17" x14ac:dyDescent="0.35">
      <c r="A22" s="5" t="s">
        <v>68</v>
      </c>
      <c r="B22" s="25" t="s">
        <v>69</v>
      </c>
      <c r="C22" s="25" t="s">
        <v>120</v>
      </c>
      <c r="D22" s="34">
        <v>1</v>
      </c>
      <c r="E22" s="34">
        <v>8</v>
      </c>
      <c r="F22" s="34">
        <v>2</v>
      </c>
      <c r="G22" s="34">
        <v>1</v>
      </c>
      <c r="H22" s="34">
        <v>0</v>
      </c>
      <c r="I22" s="34">
        <v>0</v>
      </c>
      <c r="J22" s="34">
        <v>2</v>
      </c>
      <c r="K22" s="35">
        <f t="shared" si="0"/>
        <v>2</v>
      </c>
      <c r="L22" s="34">
        <v>0</v>
      </c>
      <c r="M22" s="34">
        <v>0</v>
      </c>
      <c r="N22" s="34">
        <v>0</v>
      </c>
      <c r="O22" s="34">
        <v>1</v>
      </c>
      <c r="P22" s="34">
        <v>0</v>
      </c>
      <c r="Q22" s="34">
        <v>1</v>
      </c>
    </row>
    <row r="23" spans="1:17" x14ac:dyDescent="0.35">
      <c r="A23" s="5" t="s">
        <v>131</v>
      </c>
      <c r="B23" s="25" t="s">
        <v>72</v>
      </c>
      <c r="C23" s="25" t="s">
        <v>120</v>
      </c>
      <c r="D23" s="34">
        <v>1</v>
      </c>
      <c r="E23" s="34">
        <v>8</v>
      </c>
      <c r="F23" s="34">
        <v>2</v>
      </c>
      <c r="G23" s="34">
        <v>0</v>
      </c>
      <c r="H23" s="34">
        <v>0</v>
      </c>
      <c r="I23" s="34">
        <v>2</v>
      </c>
      <c r="J23" s="34">
        <v>0</v>
      </c>
      <c r="K23" s="35">
        <f t="shared" si="0"/>
        <v>2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</row>
    <row r="24" spans="1:17" x14ac:dyDescent="0.35">
      <c r="A24" s="5" t="s">
        <v>132</v>
      </c>
      <c r="B24" s="25" t="s">
        <v>72</v>
      </c>
      <c r="C24" s="25" t="s">
        <v>120</v>
      </c>
      <c r="D24" s="34">
        <v>1</v>
      </c>
      <c r="E24" s="34">
        <v>8</v>
      </c>
      <c r="F24" s="34">
        <v>2</v>
      </c>
      <c r="G24" s="34">
        <v>1</v>
      </c>
      <c r="H24" s="34">
        <v>0</v>
      </c>
      <c r="I24" s="34">
        <v>0</v>
      </c>
      <c r="J24" s="34">
        <v>2</v>
      </c>
      <c r="K24" s="35">
        <f t="shared" si="0"/>
        <v>2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</row>
    <row r="25" spans="1:17" x14ac:dyDescent="0.35">
      <c r="A25" s="5" t="s">
        <v>133</v>
      </c>
      <c r="B25" s="25" t="s">
        <v>72</v>
      </c>
      <c r="C25" s="25" t="s">
        <v>120</v>
      </c>
      <c r="D25" s="34">
        <v>1</v>
      </c>
      <c r="E25" s="34">
        <v>8</v>
      </c>
      <c r="F25" s="34">
        <v>2</v>
      </c>
      <c r="G25" s="34">
        <v>0</v>
      </c>
      <c r="H25" s="34">
        <v>0</v>
      </c>
      <c r="I25" s="34">
        <v>2</v>
      </c>
      <c r="J25" s="34">
        <v>0</v>
      </c>
      <c r="K25" s="35">
        <f t="shared" si="0"/>
        <v>2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</row>
    <row r="26" spans="1:17" x14ac:dyDescent="0.35">
      <c r="A26" s="5" t="s">
        <v>134</v>
      </c>
      <c r="B26" s="25" t="s">
        <v>72</v>
      </c>
      <c r="C26" s="25" t="s">
        <v>120</v>
      </c>
      <c r="D26" s="34">
        <v>1</v>
      </c>
      <c r="E26" s="34">
        <v>8</v>
      </c>
      <c r="F26" s="34">
        <v>2</v>
      </c>
      <c r="G26" s="34">
        <v>2</v>
      </c>
      <c r="H26" s="34">
        <v>0</v>
      </c>
      <c r="I26" s="34">
        <v>0</v>
      </c>
      <c r="J26" s="34">
        <v>4</v>
      </c>
      <c r="K26" s="35">
        <f t="shared" si="0"/>
        <v>4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</row>
    <row r="27" spans="1:17" x14ac:dyDescent="0.35">
      <c r="A27" s="5" t="s">
        <v>135</v>
      </c>
      <c r="B27" s="25" t="s">
        <v>72</v>
      </c>
      <c r="C27" s="25" t="s">
        <v>120</v>
      </c>
      <c r="D27" s="34">
        <v>1</v>
      </c>
      <c r="E27" s="34">
        <v>8</v>
      </c>
      <c r="F27" s="34">
        <v>2</v>
      </c>
      <c r="G27" s="34">
        <v>1</v>
      </c>
      <c r="H27" s="34">
        <v>0</v>
      </c>
      <c r="I27" s="34">
        <v>0</v>
      </c>
      <c r="J27" s="34">
        <v>2</v>
      </c>
      <c r="K27" s="35">
        <f t="shared" si="0"/>
        <v>2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</row>
    <row r="28" spans="1:17" x14ac:dyDescent="0.35">
      <c r="A28" s="5" t="s">
        <v>136</v>
      </c>
      <c r="B28" s="25" t="s">
        <v>72</v>
      </c>
      <c r="C28" s="25" t="s">
        <v>120</v>
      </c>
      <c r="D28" s="34">
        <v>1</v>
      </c>
      <c r="E28" s="34">
        <v>8</v>
      </c>
      <c r="F28" s="34">
        <v>2</v>
      </c>
      <c r="G28" s="34">
        <v>1</v>
      </c>
      <c r="H28" s="34">
        <v>0</v>
      </c>
      <c r="I28" s="34">
        <v>0</v>
      </c>
      <c r="J28" s="34">
        <v>2</v>
      </c>
      <c r="K28" s="35">
        <f t="shared" si="0"/>
        <v>2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34">
        <v>0</v>
      </c>
    </row>
    <row r="29" spans="1:17" x14ac:dyDescent="0.35">
      <c r="A29" s="5" t="s">
        <v>71</v>
      </c>
      <c r="B29" s="25" t="s">
        <v>72</v>
      </c>
      <c r="C29" s="25" t="s">
        <v>120</v>
      </c>
      <c r="D29" s="34">
        <v>1</v>
      </c>
      <c r="E29" s="34">
        <v>8</v>
      </c>
      <c r="F29" s="34">
        <v>2</v>
      </c>
      <c r="G29" s="34">
        <v>1</v>
      </c>
      <c r="H29" s="34">
        <v>0</v>
      </c>
      <c r="I29" s="34">
        <v>0</v>
      </c>
      <c r="J29" s="34">
        <v>2</v>
      </c>
      <c r="K29" s="35">
        <f t="shared" si="0"/>
        <v>2</v>
      </c>
      <c r="L29" s="34">
        <v>0</v>
      </c>
      <c r="M29" s="34">
        <v>0</v>
      </c>
      <c r="N29" s="34">
        <v>0</v>
      </c>
      <c r="O29" s="34">
        <v>1</v>
      </c>
      <c r="P29" s="34">
        <v>0</v>
      </c>
      <c r="Q29" s="34">
        <v>1</v>
      </c>
    </row>
    <row r="30" spans="1:17" x14ac:dyDescent="0.35">
      <c r="A30" s="5" t="s">
        <v>137</v>
      </c>
      <c r="B30" s="25" t="s">
        <v>75</v>
      </c>
      <c r="C30" s="25" t="s">
        <v>120</v>
      </c>
      <c r="D30" s="34">
        <v>1</v>
      </c>
      <c r="E30" s="34">
        <v>8</v>
      </c>
      <c r="F30" s="34">
        <v>2</v>
      </c>
      <c r="G30" s="34">
        <v>2</v>
      </c>
      <c r="H30" s="34">
        <v>0</v>
      </c>
      <c r="I30" s="34">
        <v>0</v>
      </c>
      <c r="J30" s="34">
        <v>4</v>
      </c>
      <c r="K30" s="35">
        <f t="shared" si="0"/>
        <v>4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</row>
    <row r="31" spans="1:17" x14ac:dyDescent="0.35">
      <c r="A31" s="5" t="s">
        <v>138</v>
      </c>
      <c r="B31" s="25" t="s">
        <v>75</v>
      </c>
      <c r="C31" s="25" t="s">
        <v>120</v>
      </c>
      <c r="D31" s="34">
        <v>1</v>
      </c>
      <c r="E31" s="34">
        <v>8</v>
      </c>
      <c r="F31" s="34">
        <v>2</v>
      </c>
      <c r="G31" s="34">
        <v>0</v>
      </c>
      <c r="H31" s="34">
        <v>0</v>
      </c>
      <c r="I31" s="34">
        <v>2</v>
      </c>
      <c r="J31" s="34">
        <v>0</v>
      </c>
      <c r="K31" s="35">
        <f t="shared" si="0"/>
        <v>2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</row>
    <row r="32" spans="1:17" x14ac:dyDescent="0.35">
      <c r="A32" s="5" t="s">
        <v>139</v>
      </c>
      <c r="B32" s="25" t="s">
        <v>75</v>
      </c>
      <c r="C32" s="25" t="s">
        <v>120</v>
      </c>
      <c r="D32" s="34">
        <v>1</v>
      </c>
      <c r="E32" s="34">
        <v>8</v>
      </c>
      <c r="F32" s="34">
        <v>2</v>
      </c>
      <c r="G32" s="34">
        <v>0</v>
      </c>
      <c r="H32" s="34">
        <v>0</v>
      </c>
      <c r="I32" s="34">
        <v>2</v>
      </c>
      <c r="J32" s="34">
        <v>0</v>
      </c>
      <c r="K32" s="35">
        <f t="shared" si="0"/>
        <v>2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</row>
    <row r="33" spans="1:17" x14ac:dyDescent="0.35">
      <c r="A33" s="5" t="s">
        <v>140</v>
      </c>
      <c r="B33" s="25" t="s">
        <v>75</v>
      </c>
      <c r="C33" s="25" t="s">
        <v>120</v>
      </c>
      <c r="D33" s="34">
        <v>1</v>
      </c>
      <c r="E33" s="34">
        <v>8</v>
      </c>
      <c r="F33" s="34">
        <v>2</v>
      </c>
      <c r="G33" s="34">
        <v>0</v>
      </c>
      <c r="H33" s="34">
        <v>0</v>
      </c>
      <c r="I33" s="34">
        <v>2</v>
      </c>
      <c r="J33" s="34">
        <v>0</v>
      </c>
      <c r="K33" s="35">
        <f t="shared" si="0"/>
        <v>2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</row>
    <row r="34" spans="1:17" x14ac:dyDescent="0.35">
      <c r="A34" s="5" t="s">
        <v>141</v>
      </c>
      <c r="B34" s="25" t="s">
        <v>75</v>
      </c>
      <c r="C34" s="25" t="s">
        <v>120</v>
      </c>
      <c r="D34" s="34">
        <v>1</v>
      </c>
      <c r="E34" s="34">
        <v>8</v>
      </c>
      <c r="F34" s="34">
        <v>2</v>
      </c>
      <c r="G34" s="34">
        <v>1</v>
      </c>
      <c r="H34" s="34">
        <v>0</v>
      </c>
      <c r="I34" s="34">
        <v>0</v>
      </c>
      <c r="J34" s="34">
        <v>2</v>
      </c>
      <c r="K34" s="35">
        <f t="shared" si="0"/>
        <v>2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</row>
    <row r="35" spans="1:17" x14ac:dyDescent="0.35">
      <c r="A35" s="5" t="s">
        <v>142</v>
      </c>
      <c r="B35" s="25" t="s">
        <v>75</v>
      </c>
      <c r="C35" s="25" t="s">
        <v>120</v>
      </c>
      <c r="D35" s="34">
        <v>1</v>
      </c>
      <c r="E35" s="34">
        <v>8</v>
      </c>
      <c r="F35" s="34">
        <v>2</v>
      </c>
      <c r="G35" s="34">
        <v>1</v>
      </c>
      <c r="H35" s="34">
        <v>0</v>
      </c>
      <c r="I35" s="34">
        <v>0</v>
      </c>
      <c r="J35" s="34">
        <v>2</v>
      </c>
      <c r="K35" s="35">
        <f t="shared" si="0"/>
        <v>2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</row>
    <row r="36" spans="1:17" x14ac:dyDescent="0.35">
      <c r="A36" s="5" t="s">
        <v>74</v>
      </c>
      <c r="B36" s="25" t="s">
        <v>75</v>
      </c>
      <c r="C36" s="25" t="s">
        <v>120</v>
      </c>
      <c r="D36" s="34">
        <v>1</v>
      </c>
      <c r="E36" s="34">
        <v>8</v>
      </c>
      <c r="F36" s="34">
        <v>2</v>
      </c>
      <c r="G36" s="34">
        <v>1</v>
      </c>
      <c r="H36" s="34">
        <v>0</v>
      </c>
      <c r="I36" s="34">
        <v>0</v>
      </c>
      <c r="J36" s="34">
        <v>2</v>
      </c>
      <c r="K36" s="35">
        <f t="shared" ref="K36:K62" si="1">I36+J36</f>
        <v>2</v>
      </c>
      <c r="L36" s="34">
        <v>0</v>
      </c>
      <c r="M36" s="34">
        <v>0</v>
      </c>
      <c r="N36" s="34">
        <v>0</v>
      </c>
      <c r="O36" s="34">
        <v>1</v>
      </c>
      <c r="P36" s="34">
        <v>0</v>
      </c>
      <c r="Q36" s="34">
        <v>1</v>
      </c>
    </row>
    <row r="37" spans="1:17" x14ac:dyDescent="0.35">
      <c r="A37" s="5" t="s">
        <v>79</v>
      </c>
      <c r="B37" s="25" t="s">
        <v>77</v>
      </c>
      <c r="C37" s="25" t="s">
        <v>120</v>
      </c>
      <c r="D37" s="34">
        <v>1</v>
      </c>
      <c r="E37" s="34">
        <v>8</v>
      </c>
      <c r="F37" s="34">
        <v>2</v>
      </c>
      <c r="G37" s="34">
        <v>1</v>
      </c>
      <c r="H37" s="34">
        <v>0</v>
      </c>
      <c r="I37" s="34">
        <v>0</v>
      </c>
      <c r="J37" s="34">
        <v>4</v>
      </c>
      <c r="K37" s="35">
        <f t="shared" si="1"/>
        <v>4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</row>
    <row r="38" spans="1:17" x14ac:dyDescent="0.35">
      <c r="A38" s="5" t="s">
        <v>143</v>
      </c>
      <c r="B38" s="25" t="s">
        <v>77</v>
      </c>
      <c r="C38" s="25" t="s">
        <v>120</v>
      </c>
      <c r="D38" s="34">
        <v>1</v>
      </c>
      <c r="E38" s="34">
        <v>8</v>
      </c>
      <c r="F38" s="34">
        <v>2</v>
      </c>
      <c r="G38" s="34">
        <v>0</v>
      </c>
      <c r="H38" s="34">
        <v>0</v>
      </c>
      <c r="I38" s="34">
        <v>2</v>
      </c>
      <c r="J38" s="34">
        <v>0</v>
      </c>
      <c r="K38" s="35">
        <f t="shared" si="1"/>
        <v>2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</row>
    <row r="39" spans="1:17" x14ac:dyDescent="0.35">
      <c r="A39" s="5" t="s">
        <v>144</v>
      </c>
      <c r="B39" s="25" t="s">
        <v>77</v>
      </c>
      <c r="C39" s="25" t="s">
        <v>120</v>
      </c>
      <c r="D39" s="34">
        <v>1</v>
      </c>
      <c r="E39" s="34">
        <v>8</v>
      </c>
      <c r="F39" s="34">
        <v>2</v>
      </c>
      <c r="G39" s="34">
        <v>1</v>
      </c>
      <c r="H39" s="34">
        <v>0</v>
      </c>
      <c r="I39" s="34">
        <v>0</v>
      </c>
      <c r="J39" s="34">
        <v>2</v>
      </c>
      <c r="K39" s="35">
        <f t="shared" si="1"/>
        <v>2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</row>
    <row r="40" spans="1:17" x14ac:dyDescent="0.35">
      <c r="A40" s="5" t="s">
        <v>145</v>
      </c>
      <c r="B40" s="25" t="s">
        <v>77</v>
      </c>
      <c r="C40" s="25" t="s">
        <v>120</v>
      </c>
      <c r="D40" s="34">
        <v>1</v>
      </c>
      <c r="E40" s="34">
        <v>8</v>
      </c>
      <c r="F40" s="34">
        <v>2</v>
      </c>
      <c r="G40" s="34">
        <v>0</v>
      </c>
      <c r="H40" s="34">
        <v>0</v>
      </c>
      <c r="I40" s="34">
        <v>2</v>
      </c>
      <c r="J40" s="34">
        <v>0</v>
      </c>
      <c r="K40" s="35">
        <f t="shared" si="1"/>
        <v>2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</row>
    <row r="41" spans="1:17" x14ac:dyDescent="0.35">
      <c r="A41" s="5" t="s">
        <v>146</v>
      </c>
      <c r="B41" s="25" t="s">
        <v>77</v>
      </c>
      <c r="C41" s="25" t="s">
        <v>120</v>
      </c>
      <c r="D41" s="34">
        <v>1</v>
      </c>
      <c r="E41" s="34">
        <v>8</v>
      </c>
      <c r="F41" s="34">
        <v>2</v>
      </c>
      <c r="G41" s="34">
        <v>1</v>
      </c>
      <c r="H41" s="34">
        <v>0</v>
      </c>
      <c r="I41" s="34">
        <v>0</v>
      </c>
      <c r="J41" s="34">
        <v>2</v>
      </c>
      <c r="K41" s="35">
        <f t="shared" si="1"/>
        <v>2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</row>
    <row r="42" spans="1:17" x14ac:dyDescent="0.35">
      <c r="A42" s="5" t="s">
        <v>147</v>
      </c>
      <c r="B42" s="25" t="s">
        <v>77</v>
      </c>
      <c r="C42" s="25" t="s">
        <v>120</v>
      </c>
      <c r="D42" s="34">
        <v>1</v>
      </c>
      <c r="E42" s="34">
        <v>8</v>
      </c>
      <c r="F42" s="34">
        <v>2</v>
      </c>
      <c r="G42" s="34">
        <v>1</v>
      </c>
      <c r="H42" s="34">
        <v>0</v>
      </c>
      <c r="I42" s="34">
        <v>0</v>
      </c>
      <c r="J42" s="34">
        <v>2</v>
      </c>
      <c r="K42" s="35">
        <f t="shared" si="1"/>
        <v>2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</row>
    <row r="43" spans="1:17" x14ac:dyDescent="0.35">
      <c r="A43" s="5" t="s">
        <v>76</v>
      </c>
      <c r="B43" s="25" t="s">
        <v>77</v>
      </c>
      <c r="C43" s="25" t="s">
        <v>120</v>
      </c>
      <c r="D43" s="34">
        <v>1</v>
      </c>
      <c r="E43" s="34">
        <v>8</v>
      </c>
      <c r="F43" s="34">
        <v>2</v>
      </c>
      <c r="G43" s="34">
        <v>1</v>
      </c>
      <c r="H43" s="34">
        <v>0</v>
      </c>
      <c r="I43" s="34">
        <v>0</v>
      </c>
      <c r="J43" s="34">
        <v>2</v>
      </c>
      <c r="K43" s="35">
        <f t="shared" si="1"/>
        <v>2</v>
      </c>
      <c r="L43" s="34">
        <v>0</v>
      </c>
      <c r="M43" s="34">
        <v>0</v>
      </c>
      <c r="N43" s="34">
        <v>0</v>
      </c>
      <c r="O43" s="34">
        <v>1</v>
      </c>
      <c r="P43" s="34">
        <v>0</v>
      </c>
      <c r="Q43" s="34">
        <v>1</v>
      </c>
    </row>
    <row r="44" spans="1:17" x14ac:dyDescent="0.35">
      <c r="A44" s="5" t="s">
        <v>148</v>
      </c>
      <c r="B44" s="25" t="s">
        <v>81</v>
      </c>
      <c r="C44" s="25" t="s">
        <v>120</v>
      </c>
      <c r="D44" s="34">
        <v>1</v>
      </c>
      <c r="E44" s="34">
        <v>8</v>
      </c>
      <c r="F44" s="34">
        <v>2</v>
      </c>
      <c r="G44" s="34">
        <v>1</v>
      </c>
      <c r="H44" s="34">
        <v>0</v>
      </c>
      <c r="I44" s="34">
        <v>0</v>
      </c>
      <c r="J44" s="34">
        <v>2</v>
      </c>
      <c r="K44" s="35">
        <f t="shared" si="1"/>
        <v>2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</row>
    <row r="45" spans="1:17" x14ac:dyDescent="0.35">
      <c r="A45" s="5" t="s">
        <v>149</v>
      </c>
      <c r="B45" s="25" t="s">
        <v>81</v>
      </c>
      <c r="C45" s="25" t="s">
        <v>120</v>
      </c>
      <c r="D45" s="34">
        <v>1</v>
      </c>
      <c r="E45" s="34">
        <v>8</v>
      </c>
      <c r="F45" s="34">
        <v>2</v>
      </c>
      <c r="G45" s="34">
        <v>1</v>
      </c>
      <c r="H45" s="34">
        <v>0</v>
      </c>
      <c r="I45" s="34">
        <v>0</v>
      </c>
      <c r="J45" s="34">
        <v>2</v>
      </c>
      <c r="K45" s="35">
        <f t="shared" si="1"/>
        <v>2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</row>
    <row r="46" spans="1:17" x14ac:dyDescent="0.35">
      <c r="A46" s="5" t="s">
        <v>150</v>
      </c>
      <c r="B46" s="25" t="s">
        <v>81</v>
      </c>
      <c r="C46" s="25" t="s">
        <v>120</v>
      </c>
      <c r="D46" s="34">
        <v>1</v>
      </c>
      <c r="E46" s="34">
        <v>8</v>
      </c>
      <c r="F46" s="34">
        <v>2</v>
      </c>
      <c r="G46" s="34">
        <v>0</v>
      </c>
      <c r="H46" s="34">
        <v>0</v>
      </c>
      <c r="I46" s="34">
        <v>2</v>
      </c>
      <c r="J46" s="34">
        <v>0</v>
      </c>
      <c r="K46" s="35">
        <f t="shared" si="1"/>
        <v>2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</row>
    <row r="47" spans="1:17" x14ac:dyDescent="0.35">
      <c r="A47" s="5" t="s">
        <v>80</v>
      </c>
      <c r="B47" s="25" t="s">
        <v>81</v>
      </c>
      <c r="C47" s="25" t="s">
        <v>120</v>
      </c>
      <c r="D47" s="34">
        <v>1</v>
      </c>
      <c r="E47" s="34">
        <v>8</v>
      </c>
      <c r="F47" s="34">
        <v>2</v>
      </c>
      <c r="G47" s="34">
        <v>1</v>
      </c>
      <c r="H47" s="34">
        <v>0</v>
      </c>
      <c r="I47" s="34">
        <v>0</v>
      </c>
      <c r="J47" s="34">
        <v>2</v>
      </c>
      <c r="K47" s="35">
        <f t="shared" si="1"/>
        <v>2</v>
      </c>
      <c r="L47" s="34">
        <v>0</v>
      </c>
      <c r="M47" s="34">
        <v>0</v>
      </c>
      <c r="N47" s="34">
        <v>0</v>
      </c>
      <c r="O47" s="34">
        <v>1</v>
      </c>
      <c r="P47" s="34">
        <v>0</v>
      </c>
      <c r="Q47" s="34">
        <v>1</v>
      </c>
    </row>
    <row r="48" spans="1:17" x14ac:dyDescent="0.35">
      <c r="A48" s="5" t="s">
        <v>151</v>
      </c>
      <c r="B48" s="25" t="s">
        <v>83</v>
      </c>
      <c r="C48" s="25" t="s">
        <v>120</v>
      </c>
      <c r="D48" s="34">
        <v>1</v>
      </c>
      <c r="E48" s="34">
        <v>8</v>
      </c>
      <c r="F48" s="34">
        <v>3</v>
      </c>
      <c r="G48" s="34">
        <v>0</v>
      </c>
      <c r="H48" s="34">
        <v>0</v>
      </c>
      <c r="I48" s="34">
        <v>3</v>
      </c>
      <c r="J48" s="34">
        <v>0</v>
      </c>
      <c r="K48" s="35">
        <f t="shared" si="1"/>
        <v>3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</row>
    <row r="49" spans="1:17" x14ac:dyDescent="0.35">
      <c r="A49" s="5" t="s">
        <v>152</v>
      </c>
      <c r="B49" s="25" t="s">
        <v>83</v>
      </c>
      <c r="C49" s="25" t="s">
        <v>120</v>
      </c>
      <c r="D49" s="34">
        <v>1</v>
      </c>
      <c r="E49" s="34">
        <v>8</v>
      </c>
      <c r="F49" s="34">
        <v>3</v>
      </c>
      <c r="G49" s="34">
        <v>0</v>
      </c>
      <c r="H49" s="34">
        <v>0</v>
      </c>
      <c r="I49" s="34">
        <v>3</v>
      </c>
      <c r="J49" s="34">
        <v>0</v>
      </c>
      <c r="K49" s="35">
        <f t="shared" si="1"/>
        <v>3</v>
      </c>
      <c r="L49" s="34">
        <v>0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</row>
    <row r="50" spans="1:17" x14ac:dyDescent="0.35">
      <c r="A50" s="5" t="s">
        <v>153</v>
      </c>
      <c r="B50" s="25" t="s">
        <v>83</v>
      </c>
      <c r="C50" s="25" t="s">
        <v>120</v>
      </c>
      <c r="D50" s="34">
        <v>1</v>
      </c>
      <c r="E50" s="34">
        <v>8</v>
      </c>
      <c r="F50" s="34">
        <v>3</v>
      </c>
      <c r="G50" s="34">
        <v>0</v>
      </c>
      <c r="H50" s="34">
        <v>0</v>
      </c>
      <c r="I50" s="34">
        <v>3</v>
      </c>
      <c r="J50" s="34">
        <v>0</v>
      </c>
      <c r="K50" s="35">
        <f t="shared" si="1"/>
        <v>3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0</v>
      </c>
    </row>
    <row r="51" spans="1:17" x14ac:dyDescent="0.35">
      <c r="A51" s="5" t="s">
        <v>154</v>
      </c>
      <c r="B51" s="25" t="s">
        <v>83</v>
      </c>
      <c r="C51" s="25" t="s">
        <v>120</v>
      </c>
      <c r="D51" s="34">
        <v>1</v>
      </c>
      <c r="E51" s="34">
        <v>8</v>
      </c>
      <c r="F51" s="34">
        <v>3</v>
      </c>
      <c r="G51" s="34">
        <v>0</v>
      </c>
      <c r="H51" s="34">
        <v>0</v>
      </c>
      <c r="I51" s="34">
        <v>3</v>
      </c>
      <c r="J51" s="34">
        <v>0</v>
      </c>
      <c r="K51" s="35">
        <f t="shared" si="1"/>
        <v>3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</row>
    <row r="52" spans="1:17" x14ac:dyDescent="0.35">
      <c r="A52" s="5" t="s">
        <v>155</v>
      </c>
      <c r="B52" s="25" t="s">
        <v>83</v>
      </c>
      <c r="C52" s="25" t="s">
        <v>120</v>
      </c>
      <c r="D52" s="34">
        <v>1</v>
      </c>
      <c r="E52" s="34">
        <v>8</v>
      </c>
      <c r="F52" s="34">
        <v>3</v>
      </c>
      <c r="G52" s="34">
        <v>0</v>
      </c>
      <c r="H52" s="34">
        <v>0</v>
      </c>
      <c r="I52" s="34">
        <v>3</v>
      </c>
      <c r="J52" s="34">
        <v>0</v>
      </c>
      <c r="K52" s="35">
        <f t="shared" si="1"/>
        <v>3</v>
      </c>
      <c r="L52" s="34">
        <v>0</v>
      </c>
      <c r="M52" s="34">
        <v>0</v>
      </c>
      <c r="N52" s="34">
        <v>0</v>
      </c>
      <c r="O52" s="34">
        <v>0</v>
      </c>
      <c r="P52" s="34">
        <v>0</v>
      </c>
      <c r="Q52" s="34">
        <v>0</v>
      </c>
    </row>
    <row r="53" spans="1:17" x14ac:dyDescent="0.35">
      <c r="A53" s="5" t="s">
        <v>82</v>
      </c>
      <c r="B53" s="25" t="s">
        <v>83</v>
      </c>
      <c r="C53" s="25" t="s">
        <v>120</v>
      </c>
      <c r="D53" s="34">
        <v>1</v>
      </c>
      <c r="E53" s="34">
        <v>8</v>
      </c>
      <c r="F53" s="34">
        <v>3</v>
      </c>
      <c r="G53" s="34">
        <v>1</v>
      </c>
      <c r="H53" s="34">
        <v>0</v>
      </c>
      <c r="I53" s="34">
        <v>0</v>
      </c>
      <c r="J53" s="34">
        <v>7</v>
      </c>
      <c r="K53" s="35">
        <f t="shared" si="1"/>
        <v>7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</row>
    <row r="54" spans="1:17" x14ac:dyDescent="0.35">
      <c r="A54" s="5" t="s">
        <v>156</v>
      </c>
      <c r="B54" s="25" t="s">
        <v>87</v>
      </c>
      <c r="C54" s="25" t="s">
        <v>120</v>
      </c>
      <c r="D54" s="34">
        <v>1</v>
      </c>
      <c r="E54" s="34">
        <v>8</v>
      </c>
      <c r="F54" s="34">
        <v>2</v>
      </c>
      <c r="G54" s="34">
        <v>0</v>
      </c>
      <c r="H54" s="34">
        <v>0</v>
      </c>
      <c r="I54" s="34">
        <v>2</v>
      </c>
      <c r="J54" s="34">
        <v>0</v>
      </c>
      <c r="K54" s="35">
        <f t="shared" si="1"/>
        <v>2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</row>
    <row r="55" spans="1:17" x14ac:dyDescent="0.35">
      <c r="A55" s="5" t="s">
        <v>157</v>
      </c>
      <c r="B55" s="25" t="s">
        <v>87</v>
      </c>
      <c r="C55" s="25" t="s">
        <v>120</v>
      </c>
      <c r="D55" s="34">
        <v>1</v>
      </c>
      <c r="E55" s="34">
        <v>8</v>
      </c>
      <c r="F55" s="34">
        <v>2</v>
      </c>
      <c r="G55" s="34">
        <v>1</v>
      </c>
      <c r="H55" s="34">
        <v>0</v>
      </c>
      <c r="I55" s="34">
        <v>0</v>
      </c>
      <c r="J55" s="34">
        <v>2</v>
      </c>
      <c r="K55" s="35">
        <f t="shared" si="1"/>
        <v>2</v>
      </c>
      <c r="L55" s="34">
        <v>0</v>
      </c>
      <c r="M55" s="34">
        <v>0</v>
      </c>
      <c r="N55" s="34">
        <v>0</v>
      </c>
      <c r="O55" s="34">
        <v>0</v>
      </c>
      <c r="P55" s="34">
        <v>0</v>
      </c>
      <c r="Q55" s="34">
        <v>0</v>
      </c>
    </row>
    <row r="56" spans="1:17" x14ac:dyDescent="0.35">
      <c r="A56" s="5" t="s">
        <v>158</v>
      </c>
      <c r="B56" s="25" t="s">
        <v>87</v>
      </c>
      <c r="C56" s="25" t="s">
        <v>120</v>
      </c>
      <c r="D56" s="34">
        <v>1</v>
      </c>
      <c r="E56" s="34">
        <v>8</v>
      </c>
      <c r="F56" s="34">
        <v>2</v>
      </c>
      <c r="G56" s="34">
        <v>1</v>
      </c>
      <c r="H56" s="34">
        <v>0</v>
      </c>
      <c r="I56" s="34">
        <v>0</v>
      </c>
      <c r="J56" s="34">
        <v>2</v>
      </c>
      <c r="K56" s="35">
        <f t="shared" si="1"/>
        <v>2</v>
      </c>
      <c r="L56" s="34">
        <v>0</v>
      </c>
      <c r="M56" s="34">
        <v>0</v>
      </c>
      <c r="N56" s="34">
        <v>0</v>
      </c>
      <c r="O56" s="34">
        <v>0</v>
      </c>
      <c r="P56" s="34">
        <v>0</v>
      </c>
      <c r="Q56" s="34">
        <v>0</v>
      </c>
    </row>
    <row r="57" spans="1:17" x14ac:dyDescent="0.35">
      <c r="A57" s="5" t="s">
        <v>86</v>
      </c>
      <c r="B57" s="25" t="s">
        <v>87</v>
      </c>
      <c r="C57" s="25" t="s">
        <v>120</v>
      </c>
      <c r="D57" s="34">
        <v>1</v>
      </c>
      <c r="E57" s="34">
        <v>8</v>
      </c>
      <c r="F57" s="34">
        <v>2</v>
      </c>
      <c r="G57" s="34">
        <v>1</v>
      </c>
      <c r="H57" s="34">
        <v>0</v>
      </c>
      <c r="I57" s="34">
        <v>0</v>
      </c>
      <c r="J57" s="34">
        <v>2</v>
      </c>
      <c r="K57" s="35">
        <f t="shared" si="1"/>
        <v>2</v>
      </c>
      <c r="L57" s="34">
        <v>0</v>
      </c>
      <c r="M57" s="34">
        <v>0</v>
      </c>
      <c r="N57" s="34">
        <v>0</v>
      </c>
      <c r="O57" s="34">
        <v>1</v>
      </c>
      <c r="P57" s="34">
        <v>0</v>
      </c>
      <c r="Q57" s="34">
        <v>1</v>
      </c>
    </row>
    <row r="58" spans="1:17" x14ac:dyDescent="0.35">
      <c r="A58" s="5" t="s">
        <v>159</v>
      </c>
      <c r="B58" s="25" t="s">
        <v>89</v>
      </c>
      <c r="C58" s="25" t="s">
        <v>120</v>
      </c>
      <c r="D58" s="34">
        <v>1</v>
      </c>
      <c r="E58" s="34">
        <v>8</v>
      </c>
      <c r="F58" s="34">
        <v>2</v>
      </c>
      <c r="G58" s="34">
        <v>0</v>
      </c>
      <c r="H58" s="34">
        <v>0</v>
      </c>
      <c r="I58" s="34">
        <v>2</v>
      </c>
      <c r="J58" s="34">
        <v>0</v>
      </c>
      <c r="K58" s="35">
        <f t="shared" si="1"/>
        <v>2</v>
      </c>
      <c r="L58" s="34">
        <v>0</v>
      </c>
      <c r="M58" s="34">
        <v>0</v>
      </c>
      <c r="N58" s="34">
        <v>0</v>
      </c>
      <c r="O58" s="34">
        <v>0</v>
      </c>
      <c r="P58" s="34">
        <v>0</v>
      </c>
      <c r="Q58" s="34">
        <v>0</v>
      </c>
    </row>
    <row r="59" spans="1:17" x14ac:dyDescent="0.35">
      <c r="A59" s="5" t="s">
        <v>90</v>
      </c>
      <c r="B59" s="25" t="s">
        <v>89</v>
      </c>
      <c r="C59" s="25" t="s">
        <v>120</v>
      </c>
      <c r="D59" s="34">
        <v>1</v>
      </c>
      <c r="E59" s="34">
        <v>8</v>
      </c>
      <c r="F59" s="34">
        <v>2</v>
      </c>
      <c r="G59" s="34">
        <v>1</v>
      </c>
      <c r="H59" s="34">
        <v>0</v>
      </c>
      <c r="I59" s="34">
        <v>0</v>
      </c>
      <c r="J59" s="34">
        <v>4</v>
      </c>
      <c r="K59" s="35">
        <f t="shared" si="1"/>
        <v>4</v>
      </c>
      <c r="L59" s="34">
        <v>0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</row>
    <row r="60" spans="1:17" x14ac:dyDescent="0.35">
      <c r="A60" s="5" t="s">
        <v>160</v>
      </c>
      <c r="B60" s="25" t="s">
        <v>89</v>
      </c>
      <c r="C60" s="25" t="s">
        <v>120</v>
      </c>
      <c r="D60" s="34">
        <v>1</v>
      </c>
      <c r="E60" s="34">
        <v>8</v>
      </c>
      <c r="F60" s="34">
        <v>2</v>
      </c>
      <c r="G60" s="34">
        <v>1</v>
      </c>
      <c r="H60" s="34">
        <v>0</v>
      </c>
      <c r="I60" s="34">
        <v>0</v>
      </c>
      <c r="J60" s="34">
        <v>2</v>
      </c>
      <c r="K60" s="35">
        <f t="shared" si="1"/>
        <v>2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</row>
    <row r="61" spans="1:17" x14ac:dyDescent="0.35">
      <c r="A61" s="5" t="s">
        <v>88</v>
      </c>
      <c r="B61" s="25" t="s">
        <v>89</v>
      </c>
      <c r="C61" s="25" t="s">
        <v>120</v>
      </c>
      <c r="D61" s="34">
        <v>1</v>
      </c>
      <c r="E61" s="34">
        <v>8</v>
      </c>
      <c r="F61" s="34">
        <v>2</v>
      </c>
      <c r="G61" s="34">
        <v>1</v>
      </c>
      <c r="H61" s="34">
        <v>0</v>
      </c>
      <c r="I61" s="34">
        <v>0</v>
      </c>
      <c r="J61" s="34">
        <v>2</v>
      </c>
      <c r="K61" s="35">
        <f t="shared" si="1"/>
        <v>2</v>
      </c>
      <c r="L61" s="34">
        <v>0</v>
      </c>
      <c r="M61" s="34">
        <v>0</v>
      </c>
      <c r="N61" s="34">
        <v>0</v>
      </c>
      <c r="O61" s="34">
        <v>1</v>
      </c>
      <c r="P61" s="34">
        <v>0</v>
      </c>
      <c r="Q61" s="34">
        <v>1</v>
      </c>
    </row>
    <row r="62" spans="1:17" x14ac:dyDescent="0.35">
      <c r="A62" s="5" t="s">
        <v>91</v>
      </c>
      <c r="B62" s="25" t="s">
        <v>92</v>
      </c>
      <c r="C62" s="25" t="s">
        <v>120</v>
      </c>
      <c r="D62" s="34">
        <v>1</v>
      </c>
      <c r="E62" s="34">
        <v>8</v>
      </c>
      <c r="F62" s="34">
        <v>2</v>
      </c>
      <c r="G62" s="34">
        <v>1</v>
      </c>
      <c r="H62" s="34">
        <v>0</v>
      </c>
      <c r="I62" s="34">
        <v>0</v>
      </c>
      <c r="J62" s="34">
        <v>2</v>
      </c>
      <c r="K62" s="35">
        <f t="shared" si="1"/>
        <v>2</v>
      </c>
      <c r="L62" s="34">
        <v>0</v>
      </c>
      <c r="M62" s="34">
        <v>0</v>
      </c>
      <c r="N62" s="34">
        <v>0</v>
      </c>
      <c r="O62" s="34">
        <v>1</v>
      </c>
      <c r="P62" s="34">
        <v>0</v>
      </c>
      <c r="Q62" s="34">
        <v>1</v>
      </c>
    </row>
    <row r="63" spans="1:17" x14ac:dyDescent="0.35">
      <c r="A63" s="16" t="s">
        <v>93</v>
      </c>
      <c r="B63" s="16"/>
      <c r="C63" s="16"/>
      <c r="D63" s="36">
        <f>SUM(D4:D62)</f>
        <v>60</v>
      </c>
      <c r="E63" s="36"/>
      <c r="F63" s="36"/>
      <c r="G63" s="36">
        <f t="shared" ref="G63:Q63" si="2">SUM(G4:G62)</f>
        <v>38</v>
      </c>
      <c r="H63" s="36">
        <f t="shared" si="2"/>
        <v>4</v>
      </c>
      <c r="I63" s="36">
        <f t="shared" si="2"/>
        <v>43</v>
      </c>
      <c r="J63" s="36">
        <f t="shared" si="2"/>
        <v>106</v>
      </c>
      <c r="K63" s="36">
        <f t="shared" si="2"/>
        <v>149</v>
      </c>
      <c r="L63" s="36">
        <f t="shared" si="2"/>
        <v>12</v>
      </c>
      <c r="M63" s="36">
        <f t="shared" si="2"/>
        <v>18</v>
      </c>
      <c r="N63" s="36">
        <f t="shared" si="2"/>
        <v>8</v>
      </c>
      <c r="O63" s="36">
        <f t="shared" si="2"/>
        <v>11</v>
      </c>
      <c r="P63" s="36">
        <f t="shared" si="2"/>
        <v>3</v>
      </c>
      <c r="Q63" s="36">
        <f t="shared" si="2"/>
        <v>12</v>
      </c>
    </row>
    <row r="65" spans="1:1" x14ac:dyDescent="0.35">
      <c r="A65" s="21" t="s">
        <v>161</v>
      </c>
    </row>
    <row r="66" spans="1:1" x14ac:dyDescent="0.35">
      <c r="A66" s="22" t="s">
        <v>162</v>
      </c>
    </row>
    <row r="67" spans="1:1" x14ac:dyDescent="0.35">
      <c r="A67" s="22" t="s">
        <v>163</v>
      </c>
    </row>
    <row r="68" spans="1:1" x14ac:dyDescent="0.35">
      <c r="A68" s="22" t="s">
        <v>164</v>
      </c>
    </row>
    <row r="69" spans="1:1" x14ac:dyDescent="0.35">
      <c r="A69" s="22" t="s">
        <v>165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Estimate</vt:lpstr>
      <vt:lpstr>Conductors</vt:lpstr>
      <vt:lpstr>Quantities by Pole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Owen Shrestha</cp:lastModifiedBy>
  <cp:revision>0</cp:revision>
  <dcterms:created xsi:type="dcterms:W3CDTF">2026-10-24T06:49:14Z</dcterms:created>
  <dcterms:modified xsi:type="dcterms:W3CDTF">2026-10-24T14:23:51Z</dcterms:modified>
  <dc:language>en-US</dc:language>
</cp:coreProperties>
</file>