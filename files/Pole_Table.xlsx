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CER\Documents\7th sem\self\PS-II\assign\assign I\"/>
    </mc:Choice>
  </mc:AlternateContent>
  <xr:revisionPtr revIDLastSave="0" documentId="13_ncr:1_{4E14D929-B56C-45DB-AD98-17678685B3CF}" xr6:coauthVersionLast="47" xr6:coauthVersionMax="47" xr10:uidLastSave="{00000000-0000-0000-0000-000000000000}"/>
  <bookViews>
    <workbookView xWindow="-110" yWindow="-110" windowWidth="19420" windowHeight="12220" tabRatio="500" xr2:uid="{00000000-000D-0000-FFFF-FFFF00000000}"/>
  </bookViews>
  <sheets>
    <sheet name="Pole Table" sheetId="1" r:id="rId1"/>
    <sheet name="Pole List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3" i="2" l="1"/>
  <c r="D63" i="2"/>
  <c r="F22" i="1"/>
  <c r="F21" i="1"/>
  <c r="F23" i="1" s="1"/>
  <c r="F20" i="1"/>
  <c r="F19" i="1"/>
  <c r="I17" i="1"/>
  <c r="H17" i="1"/>
  <c r="G17" i="1"/>
  <c r="E17" i="1"/>
  <c r="I16" i="1"/>
  <c r="H16" i="1"/>
  <c r="G16" i="1"/>
  <c r="K16" i="1" s="1"/>
  <c r="E16" i="1"/>
  <c r="I15" i="1"/>
  <c r="H15" i="1"/>
  <c r="G15" i="1"/>
  <c r="K15" i="1" s="1"/>
  <c r="E15" i="1"/>
  <c r="I14" i="1"/>
  <c r="H14" i="1"/>
  <c r="G14" i="1"/>
  <c r="K14" i="1" s="1"/>
  <c r="E14" i="1"/>
  <c r="I13" i="1"/>
  <c r="H13" i="1"/>
  <c r="G13" i="1"/>
  <c r="K13" i="1" s="1"/>
  <c r="E13" i="1"/>
  <c r="I12" i="1"/>
  <c r="H12" i="1"/>
  <c r="G12" i="1"/>
  <c r="K12" i="1" s="1"/>
  <c r="E12" i="1"/>
  <c r="I11" i="1"/>
  <c r="H11" i="1"/>
  <c r="G11" i="1"/>
  <c r="K11" i="1" s="1"/>
  <c r="E11" i="1"/>
  <c r="I10" i="1"/>
  <c r="H10" i="1"/>
  <c r="G10" i="1"/>
  <c r="K10" i="1" s="1"/>
  <c r="E10" i="1"/>
  <c r="I9" i="1"/>
  <c r="H9" i="1"/>
  <c r="G9" i="1"/>
  <c r="K9" i="1" s="1"/>
  <c r="E9" i="1"/>
  <c r="I8" i="1"/>
  <c r="I21" i="1" s="1"/>
  <c r="H8" i="1"/>
  <c r="H21" i="1" s="1"/>
  <c r="G8" i="1"/>
  <c r="E8" i="1"/>
  <c r="E21" i="1" s="1"/>
  <c r="I7" i="1"/>
  <c r="H7" i="1"/>
  <c r="G7" i="1"/>
  <c r="K7" i="1" s="1"/>
  <c r="E7" i="1"/>
  <c r="I6" i="1"/>
  <c r="I20" i="1" s="1"/>
  <c r="H6" i="1"/>
  <c r="H20" i="1" s="1"/>
  <c r="G6" i="1"/>
  <c r="E6" i="1"/>
  <c r="E20" i="1" s="1"/>
  <c r="K21" i="1" l="1"/>
  <c r="K8" i="1"/>
  <c r="G21" i="1"/>
  <c r="K6" i="1"/>
  <c r="G20" i="1"/>
  <c r="H22" i="1"/>
  <c r="H23" i="1" s="1"/>
  <c r="H19" i="1"/>
  <c r="H24" i="1" s="1"/>
  <c r="G22" i="1"/>
  <c r="G19" i="1"/>
  <c r="K17" i="1"/>
  <c r="E22" i="1"/>
  <c r="E23" i="1" s="1"/>
  <c r="E19" i="1"/>
  <c r="I22" i="1"/>
  <c r="I23" i="1" s="1"/>
  <c r="I19" i="1"/>
  <c r="I24" i="1" s="1"/>
  <c r="K20" i="1"/>
  <c r="G23" i="1" l="1"/>
  <c r="K19" i="1"/>
  <c r="K22" i="1"/>
  <c r="K23" i="1" s="1"/>
</calcChain>
</file>

<file path=xl/sharedStrings.xml><?xml version="1.0" encoding="utf-8"?>
<sst xmlns="http://schemas.openxmlformats.org/spreadsheetml/2006/main" count="276" uniqueCount="120">
  <si>
    <t>Allowance for sag, jumpers and wastage (x distance):</t>
  </si>
  <si>
    <t>template convention (+10 %); distances are already measured along slope</t>
  </si>
  <si>
    <t>Node name</t>
  </si>
  <si>
    <t>Reach name</t>
  </si>
  <si>
    <t>Phase</t>
  </si>
  <si>
    <t>Distance (km)</t>
  </si>
  <si>
    <t>Distance (m)</t>
  </si>
  <si>
    <t>Distance with sag (m)</t>
  </si>
  <si>
    <t>Number of poles</t>
  </si>
  <si>
    <t>Stay sets</t>
  </si>
  <si>
    <t>No. of wires</t>
  </si>
  <si>
    <t>Conductor length with sag (m)</t>
  </si>
  <si>
    <t>Pole type</t>
  </si>
  <si>
    <t>From</t>
  </si>
  <si>
    <t>To</t>
  </si>
  <si>
    <t>HT00</t>
  </si>
  <si>
    <t>T1</t>
  </si>
  <si>
    <t>HT00-T1</t>
  </si>
  <si>
    <t>3 (11 kV)</t>
  </si>
  <si>
    <t>11 m STP</t>
  </si>
  <si>
    <t>T1 structure</t>
  </si>
  <si>
    <t>11 m STP x 2 (DP)</t>
  </si>
  <si>
    <t>A08</t>
  </si>
  <si>
    <t>T1-A08</t>
  </si>
  <si>
    <t>2 (y,b)</t>
  </si>
  <si>
    <t>8 m STP</t>
  </si>
  <si>
    <t>A105</t>
  </si>
  <si>
    <t>A08-A105</t>
  </si>
  <si>
    <t>1 (b)</t>
  </si>
  <si>
    <t>A207</t>
  </si>
  <si>
    <t>A08-A207</t>
  </si>
  <si>
    <t>1 (y)</t>
  </si>
  <si>
    <t>B07</t>
  </si>
  <si>
    <t>T1-B07</t>
  </si>
  <si>
    <t>C07</t>
  </si>
  <si>
    <t>T1-C07</t>
  </si>
  <si>
    <t>1 (r)</t>
  </si>
  <si>
    <t>C01</t>
  </si>
  <si>
    <t>C104</t>
  </si>
  <si>
    <t>C01-C104</t>
  </si>
  <si>
    <t>D06</t>
  </si>
  <si>
    <t>T1-D06</t>
  </si>
  <si>
    <t>2 (r,y)</t>
  </si>
  <si>
    <t>D104</t>
  </si>
  <si>
    <t>D06-D104</t>
  </si>
  <si>
    <t>D204</t>
  </si>
  <si>
    <t>D06-D204</t>
  </si>
  <si>
    <t>D202</t>
  </si>
  <si>
    <t>D301</t>
  </si>
  <si>
    <t>D202-D301</t>
  </si>
  <si>
    <t>Total</t>
  </si>
  <si>
    <t>Total 11 kV (line + T1 structure)</t>
  </si>
  <si>
    <t>Total LV two-phase</t>
  </si>
  <si>
    <t>Total LV single-phase</t>
  </si>
  <si>
    <t>Total LV (2-phase + 1-phase)</t>
  </si>
  <si>
    <t>Check: totals vs sheet "Pole List"</t>
  </si>
  <si>
    <t>Steel tubular poles (STP) shall be used: 11 m for the 11 kV line and the T1 structure, 8 m for LV lines.</t>
  </si>
  <si>
    <t>Notes</t>
  </si>
  <si>
    <t>3. Stay sets follow the survey rule (see sheet "Pole List"); each pole is listed there with its function, stay sets, coordinates and elevation.</t>
  </si>
  <si>
    <t>4. Wires: 11 kV three-phase = 3; LV two-phase = 3 (2 phases + neutral); LV single-phase = 2 (phase + neutral). Conductor size is fixed in the voltage-drop design.</t>
  </si>
  <si>
    <t>5. Blue = survey input; black = formula; green = taken from sheet "Pole List"; yellow = assumption you can change.</t>
  </si>
  <si>
    <t>Pole ID</t>
  </si>
  <si>
    <t>Reach</t>
  </si>
  <si>
    <t>Line</t>
  </si>
  <si>
    <t>Poles (nos)</t>
  </si>
  <si>
    <t>Pole height (m)</t>
  </si>
  <si>
    <t>Line deviation (deg)</t>
  </si>
  <si>
    <t>11 kV</t>
  </si>
  <si>
    <t>HT01</t>
  </si>
  <si>
    <t>HT02</t>
  </si>
  <si>
    <t>HT03</t>
  </si>
  <si>
    <t>HT04</t>
  </si>
  <si>
    <t>11 kV / transformer</t>
  </si>
  <si>
    <t>A01</t>
  </si>
  <si>
    <t>LV</t>
  </si>
  <si>
    <t>A02</t>
  </si>
  <si>
    <t>A03</t>
  </si>
  <si>
    <t>A04</t>
  </si>
  <si>
    <t>A05</t>
  </si>
  <si>
    <t>A06</t>
  </si>
  <si>
    <t>A07</t>
  </si>
  <si>
    <t>A101</t>
  </si>
  <si>
    <t>A102</t>
  </si>
  <si>
    <t>A103</t>
  </si>
  <si>
    <t>A104</t>
  </si>
  <si>
    <t>A201</t>
  </si>
  <si>
    <t>A202</t>
  </si>
  <si>
    <t>A203</t>
  </si>
  <si>
    <t>A204</t>
  </si>
  <si>
    <t>A205</t>
  </si>
  <si>
    <t>A206</t>
  </si>
  <si>
    <t>B01</t>
  </si>
  <si>
    <t>B02</t>
  </si>
  <si>
    <t>B03</t>
  </si>
  <si>
    <t>B04</t>
  </si>
  <si>
    <t>B05</t>
  </si>
  <si>
    <t>B06</t>
  </si>
  <si>
    <t>C02</t>
  </si>
  <si>
    <t>C03</t>
  </si>
  <si>
    <t>C04</t>
  </si>
  <si>
    <t>C05</t>
  </si>
  <si>
    <t>C06</t>
  </si>
  <si>
    <t>C101</t>
  </si>
  <si>
    <t>C102</t>
  </si>
  <si>
    <t>C103</t>
  </si>
  <si>
    <t>D01</t>
  </si>
  <si>
    <t>D02</t>
  </si>
  <si>
    <t>D03</t>
  </si>
  <si>
    <t>D04</t>
  </si>
  <si>
    <t>D05</t>
  </si>
  <si>
    <t>D101</t>
  </si>
  <si>
    <t>D102</t>
  </si>
  <si>
    <t>D103</t>
  </si>
  <si>
    <t>D201</t>
  </si>
  <si>
    <t>D203</t>
  </si>
  <si>
    <t xml:space="preserve">1. Distance = route length along slope from the desktop survey (same as on the SLD). </t>
  </si>
  <si>
    <t xml:space="preserve">2. Number of poles in a reach = new poles after its start node up to and including its end node; the start node is counted in the upstream reach, so no pole is counted twice. </t>
  </si>
  <si>
    <t xml:space="preserve">Stay-set rule: 1 at each dead-end, 1 per tee-off branch, 1 at angles 10-60 deg, 2 at angles &gt; 60 deg; HT tap-off and HT terminal (T1) 1 each. </t>
  </si>
  <si>
    <t xml:space="preserve">POLE LIST </t>
  </si>
  <si>
    <t xml:space="preserve">POLE AND STAY SET SCHEDULE - BAHUNDANDA SOUTH SPUR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</si>
</sst>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0"/>
      <name val="Arial"/>
      <charset val="1"/>
    </font>
    <font>
      <sz val="10"/>
      <color rgb="FF008000"/>
      <name val="Arial"/>
      <charset val="1"/>
    </font>
    <font>
      <sz val="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" xfId="0" applyFont="1" applyBorder="1"/>
    <xf numFmtId="0" fontId="5" fillId="4" borderId="1" xfId="0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2" fontId="3" fillId="2" borderId="1" xfId="0" applyNumberFormat="1" applyFont="1" applyFill="1" applyBorder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/>
    <xf numFmtId="3" fontId="3" fillId="0" borderId="1" xfId="0" applyNumberFormat="1" applyFont="1" applyBorder="1"/>
    <xf numFmtId="165" fontId="2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164" fontId="5" fillId="4" borderId="1" xfId="0" applyNumberFormat="1" applyFont="1" applyFill="1" applyBorder="1"/>
    <xf numFmtId="3" fontId="5" fillId="4" borderId="1" xfId="0" applyNumberFormat="1" applyFont="1" applyFill="1" applyBorder="1"/>
    <xf numFmtId="165" fontId="5" fillId="4" borderId="1" xfId="0" applyNumberFormat="1" applyFont="1" applyFill="1" applyBorder="1"/>
    <xf numFmtId="1" fontId="5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7" fillId="0" borderId="0" xfId="0" applyFont="1"/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showGridLines="0" tabSelected="1" zoomScaleNormal="100" workbookViewId="0">
      <pane ySplit="5" topLeftCell="A6" activePane="bottomLeft" state="frozen"/>
      <selection pane="bottomLeft" activeCell="A2" sqref="A2"/>
    </sheetView>
  </sheetViews>
  <sheetFormatPr defaultColWidth="8.6328125" defaultRowHeight="14.5" x14ac:dyDescent="0.35"/>
  <cols>
    <col min="1" max="2" width="8" customWidth="1"/>
    <col min="3" max="3" width="13" customWidth="1"/>
    <col min="4" max="6" width="10" customWidth="1"/>
    <col min="7" max="7" width="12" customWidth="1"/>
    <col min="8" max="8" width="10" customWidth="1"/>
    <col min="9" max="10" width="8" customWidth="1"/>
    <col min="11" max="11" width="13" customWidth="1"/>
    <col min="12" max="12" width="17" customWidth="1"/>
  </cols>
  <sheetData>
    <row r="1" spans="1:12" ht="16.5" x14ac:dyDescent="0.35">
      <c r="A1" s="4" t="s">
        <v>119</v>
      </c>
    </row>
    <row r="2" spans="1:12" x14ac:dyDescent="0.35">
      <c r="A2" s="5" t="s">
        <v>0</v>
      </c>
      <c r="F2" s="6">
        <v>1.1000000000000001</v>
      </c>
      <c r="G2" s="7" t="s">
        <v>1</v>
      </c>
    </row>
    <row r="4" spans="1:12" ht="18" customHeight="1" x14ac:dyDescent="0.35">
      <c r="A4" s="3" t="s">
        <v>2</v>
      </c>
      <c r="B4" s="3"/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ht="30" customHeight="1" x14ac:dyDescent="0.35">
      <c r="A5" s="8" t="s">
        <v>13</v>
      </c>
      <c r="B5" s="8" t="s">
        <v>14</v>
      </c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5">
      <c r="A6" s="9" t="s">
        <v>15</v>
      </c>
      <c r="B6" s="9" t="s">
        <v>16</v>
      </c>
      <c r="C6" s="10" t="s">
        <v>17</v>
      </c>
      <c r="D6" s="11" t="s">
        <v>18</v>
      </c>
      <c r="E6" s="12">
        <f t="shared" ref="E6:E17" si="0">F6/1000</f>
        <v>0.26900000000000002</v>
      </c>
      <c r="F6" s="13">
        <v>269</v>
      </c>
      <c r="G6" s="14">
        <f t="shared" ref="G6:G17" si="1">F6*$F$2</f>
        <v>295.90000000000003</v>
      </c>
      <c r="H6" s="15">
        <f>SUMIF('Pole List'!$B$4:$B$62,C6,'Pole List'!$D$4:$D$62)</f>
        <v>5</v>
      </c>
      <c r="I6" s="15">
        <f>SUMIF('Pole List'!$B$4:$B$62,C6,'Pole List'!$G$4:$G$62)</f>
        <v>3</v>
      </c>
      <c r="J6" s="16">
        <v>3</v>
      </c>
      <c r="K6" s="14">
        <f t="shared" ref="K6:K17" si="2">G6*J6</f>
        <v>887.7</v>
      </c>
      <c r="L6" s="11" t="s">
        <v>19</v>
      </c>
    </row>
    <row r="7" spans="1:12" x14ac:dyDescent="0.35">
      <c r="A7" s="9" t="s">
        <v>16</v>
      </c>
      <c r="B7" s="9" t="s">
        <v>16</v>
      </c>
      <c r="C7" s="10" t="s">
        <v>20</v>
      </c>
      <c r="D7" s="11" t="s">
        <v>18</v>
      </c>
      <c r="E7" s="12">
        <f t="shared" si="0"/>
        <v>0</v>
      </c>
      <c r="F7" s="13">
        <v>0</v>
      </c>
      <c r="G7" s="14">
        <f t="shared" si="1"/>
        <v>0</v>
      </c>
      <c r="H7" s="15">
        <f>SUMIF('Pole List'!$B$4:$B$62,C7,'Pole List'!$D$4:$D$62)</f>
        <v>2</v>
      </c>
      <c r="I7" s="15">
        <f>SUMIF('Pole List'!$B$4:$B$62,C7,'Pole List'!$G$4:$G$62)</f>
        <v>1</v>
      </c>
      <c r="J7" s="16">
        <v>0</v>
      </c>
      <c r="K7" s="14">
        <f t="shared" si="2"/>
        <v>0</v>
      </c>
      <c r="L7" s="11" t="s">
        <v>21</v>
      </c>
    </row>
    <row r="8" spans="1:12" x14ac:dyDescent="0.35">
      <c r="A8" s="9" t="s">
        <v>16</v>
      </c>
      <c r="B8" s="9" t="s">
        <v>22</v>
      </c>
      <c r="C8" s="10" t="s">
        <v>23</v>
      </c>
      <c r="D8" s="11" t="s">
        <v>24</v>
      </c>
      <c r="E8" s="12">
        <f t="shared" si="0"/>
        <v>0.26400000000000001</v>
      </c>
      <c r="F8" s="13">
        <v>264</v>
      </c>
      <c r="G8" s="14">
        <f t="shared" si="1"/>
        <v>290.40000000000003</v>
      </c>
      <c r="H8" s="15">
        <f>SUMIF('Pole List'!$B$4:$B$62,C8,'Pole List'!$D$4:$D$62)</f>
        <v>8</v>
      </c>
      <c r="I8" s="15">
        <f>SUMIF('Pole List'!$B$4:$B$62,C8,'Pole List'!$G$4:$G$62)</f>
        <v>7</v>
      </c>
      <c r="J8" s="16">
        <v>3</v>
      </c>
      <c r="K8" s="14">
        <f t="shared" si="2"/>
        <v>871.2</v>
      </c>
      <c r="L8" s="11" t="s">
        <v>25</v>
      </c>
    </row>
    <row r="9" spans="1:12" x14ac:dyDescent="0.35">
      <c r="A9" s="9" t="s">
        <v>22</v>
      </c>
      <c r="B9" s="9" t="s">
        <v>26</v>
      </c>
      <c r="C9" s="10" t="s">
        <v>27</v>
      </c>
      <c r="D9" s="11" t="s">
        <v>28</v>
      </c>
      <c r="E9" s="12">
        <f t="shared" si="0"/>
        <v>0.13100000000000001</v>
      </c>
      <c r="F9" s="13">
        <v>131</v>
      </c>
      <c r="G9" s="14">
        <f t="shared" si="1"/>
        <v>144.10000000000002</v>
      </c>
      <c r="H9" s="15">
        <f>SUMIF('Pole List'!$B$4:$B$62,C9,'Pole List'!$D$4:$D$62)</f>
        <v>5</v>
      </c>
      <c r="I9" s="15">
        <f>SUMIF('Pole List'!$B$4:$B$62,C9,'Pole List'!$G$4:$G$62)</f>
        <v>4</v>
      </c>
      <c r="J9" s="16">
        <v>2</v>
      </c>
      <c r="K9" s="14">
        <f t="shared" si="2"/>
        <v>288.20000000000005</v>
      </c>
      <c r="L9" s="11" t="s">
        <v>25</v>
      </c>
    </row>
    <row r="10" spans="1:12" x14ac:dyDescent="0.35">
      <c r="A10" s="9" t="s">
        <v>22</v>
      </c>
      <c r="B10" s="9" t="s">
        <v>29</v>
      </c>
      <c r="C10" s="10" t="s">
        <v>30</v>
      </c>
      <c r="D10" s="11" t="s">
        <v>31</v>
      </c>
      <c r="E10" s="12">
        <f t="shared" si="0"/>
        <v>0.2</v>
      </c>
      <c r="F10" s="13">
        <v>200</v>
      </c>
      <c r="G10" s="14">
        <f t="shared" si="1"/>
        <v>220.00000000000003</v>
      </c>
      <c r="H10" s="15">
        <f>SUMIF('Pole List'!$B$4:$B$62,C10,'Pole List'!$D$4:$D$62)</f>
        <v>7</v>
      </c>
      <c r="I10" s="15">
        <f>SUMIF('Pole List'!$B$4:$B$62,C10,'Pole List'!$G$4:$G$62)</f>
        <v>6</v>
      </c>
      <c r="J10" s="16">
        <v>2</v>
      </c>
      <c r="K10" s="14">
        <f t="shared" si="2"/>
        <v>440.00000000000006</v>
      </c>
      <c r="L10" s="11" t="s">
        <v>25</v>
      </c>
    </row>
    <row r="11" spans="1:12" x14ac:dyDescent="0.35">
      <c r="A11" s="9" t="s">
        <v>16</v>
      </c>
      <c r="B11" s="9" t="s">
        <v>32</v>
      </c>
      <c r="C11" s="10" t="s">
        <v>33</v>
      </c>
      <c r="D11" s="11" t="s">
        <v>28</v>
      </c>
      <c r="E11" s="12">
        <f t="shared" si="0"/>
        <v>0.16400000000000001</v>
      </c>
      <c r="F11" s="13">
        <v>164</v>
      </c>
      <c r="G11" s="14">
        <f t="shared" si="1"/>
        <v>180.4</v>
      </c>
      <c r="H11" s="15">
        <f>SUMIF('Pole List'!$B$4:$B$62,C11,'Pole List'!$D$4:$D$62)</f>
        <v>7</v>
      </c>
      <c r="I11" s="15">
        <f>SUMIF('Pole List'!$B$4:$B$62,C11,'Pole List'!$G$4:$G$62)</f>
        <v>5</v>
      </c>
      <c r="J11" s="16">
        <v>2</v>
      </c>
      <c r="K11" s="14">
        <f t="shared" si="2"/>
        <v>360.8</v>
      </c>
      <c r="L11" s="11" t="s">
        <v>25</v>
      </c>
    </row>
    <row r="12" spans="1:12" x14ac:dyDescent="0.35">
      <c r="A12" s="9" t="s">
        <v>16</v>
      </c>
      <c r="B12" s="9" t="s">
        <v>34</v>
      </c>
      <c r="C12" s="10" t="s">
        <v>35</v>
      </c>
      <c r="D12" s="11" t="s">
        <v>36</v>
      </c>
      <c r="E12" s="12">
        <f t="shared" si="0"/>
        <v>0.14799999999999999</v>
      </c>
      <c r="F12" s="13">
        <v>148</v>
      </c>
      <c r="G12" s="14">
        <f t="shared" si="1"/>
        <v>162.80000000000001</v>
      </c>
      <c r="H12" s="15">
        <f>SUMIF('Pole List'!$B$4:$B$62,C12,'Pole List'!$D$4:$D$62)</f>
        <v>7</v>
      </c>
      <c r="I12" s="15">
        <f>SUMIF('Pole List'!$B$4:$B$62,C12,'Pole List'!$G$4:$G$62)</f>
        <v>5</v>
      </c>
      <c r="J12" s="16">
        <v>2</v>
      </c>
      <c r="K12" s="14">
        <f t="shared" si="2"/>
        <v>325.60000000000002</v>
      </c>
      <c r="L12" s="11" t="s">
        <v>25</v>
      </c>
    </row>
    <row r="13" spans="1:12" x14ac:dyDescent="0.35">
      <c r="A13" s="9" t="s">
        <v>37</v>
      </c>
      <c r="B13" s="9" t="s">
        <v>38</v>
      </c>
      <c r="C13" s="10" t="s">
        <v>39</v>
      </c>
      <c r="D13" s="11" t="s">
        <v>36</v>
      </c>
      <c r="E13" s="12">
        <f t="shared" si="0"/>
        <v>0.107</v>
      </c>
      <c r="F13" s="13">
        <v>107</v>
      </c>
      <c r="G13" s="14">
        <f t="shared" si="1"/>
        <v>117.7</v>
      </c>
      <c r="H13" s="15">
        <f>SUMIF('Pole List'!$B$4:$B$62,C13,'Pole List'!$D$4:$D$62)</f>
        <v>4</v>
      </c>
      <c r="I13" s="15">
        <f>SUMIF('Pole List'!$B$4:$B$62,C13,'Pole List'!$G$4:$G$62)</f>
        <v>3</v>
      </c>
      <c r="J13" s="16">
        <v>2</v>
      </c>
      <c r="K13" s="14">
        <f t="shared" si="2"/>
        <v>235.4</v>
      </c>
      <c r="L13" s="11" t="s">
        <v>25</v>
      </c>
    </row>
    <row r="14" spans="1:12" x14ac:dyDescent="0.35">
      <c r="A14" s="9" t="s">
        <v>16</v>
      </c>
      <c r="B14" s="9" t="s">
        <v>40</v>
      </c>
      <c r="C14" s="10" t="s">
        <v>41</v>
      </c>
      <c r="D14" s="11" t="s">
        <v>42</v>
      </c>
      <c r="E14" s="12">
        <f t="shared" si="0"/>
        <v>0.191</v>
      </c>
      <c r="F14" s="13">
        <v>191</v>
      </c>
      <c r="G14" s="14">
        <f t="shared" si="1"/>
        <v>210.10000000000002</v>
      </c>
      <c r="H14" s="15">
        <f>SUMIF('Pole List'!$B$4:$B$62,C14,'Pole List'!$D$4:$D$62)</f>
        <v>6</v>
      </c>
      <c r="I14" s="15">
        <f>SUMIF('Pole List'!$B$4:$B$62,C14,'Pole List'!$G$4:$G$62)</f>
        <v>1</v>
      </c>
      <c r="J14" s="16">
        <v>3</v>
      </c>
      <c r="K14" s="14">
        <f t="shared" si="2"/>
        <v>630.30000000000007</v>
      </c>
      <c r="L14" s="11" t="s">
        <v>25</v>
      </c>
    </row>
    <row r="15" spans="1:12" x14ac:dyDescent="0.35">
      <c r="A15" s="9" t="s">
        <v>40</v>
      </c>
      <c r="B15" s="9" t="s">
        <v>43</v>
      </c>
      <c r="C15" s="10" t="s">
        <v>44</v>
      </c>
      <c r="D15" s="11" t="s">
        <v>36</v>
      </c>
      <c r="E15" s="12">
        <f t="shared" si="0"/>
        <v>0.11600000000000001</v>
      </c>
      <c r="F15" s="13">
        <v>116</v>
      </c>
      <c r="G15" s="14">
        <f t="shared" si="1"/>
        <v>127.60000000000001</v>
      </c>
      <c r="H15" s="15">
        <f>SUMIF('Pole List'!$B$4:$B$62,C15,'Pole List'!$D$4:$D$62)</f>
        <v>4</v>
      </c>
      <c r="I15" s="15">
        <f>SUMIF('Pole List'!$B$4:$B$62,C15,'Pole List'!$G$4:$G$62)</f>
        <v>3</v>
      </c>
      <c r="J15" s="16">
        <v>2</v>
      </c>
      <c r="K15" s="14">
        <f t="shared" si="2"/>
        <v>255.20000000000002</v>
      </c>
      <c r="L15" s="11" t="s">
        <v>25</v>
      </c>
    </row>
    <row r="16" spans="1:12" x14ac:dyDescent="0.35">
      <c r="A16" s="9" t="s">
        <v>40</v>
      </c>
      <c r="B16" s="9" t="s">
        <v>45</v>
      </c>
      <c r="C16" s="10" t="s">
        <v>46</v>
      </c>
      <c r="D16" s="11" t="s">
        <v>31</v>
      </c>
      <c r="E16" s="12">
        <f t="shared" si="0"/>
        <v>0.127</v>
      </c>
      <c r="F16" s="13">
        <v>127</v>
      </c>
      <c r="G16" s="14">
        <f t="shared" si="1"/>
        <v>139.70000000000002</v>
      </c>
      <c r="H16" s="15">
        <f>SUMIF('Pole List'!$B$4:$B$62,C16,'Pole List'!$D$4:$D$62)</f>
        <v>4</v>
      </c>
      <c r="I16" s="15">
        <f>SUMIF('Pole List'!$B$4:$B$62,C16,'Pole List'!$G$4:$G$62)</f>
        <v>3</v>
      </c>
      <c r="J16" s="16">
        <v>2</v>
      </c>
      <c r="K16" s="14">
        <f t="shared" si="2"/>
        <v>279.40000000000003</v>
      </c>
      <c r="L16" s="11" t="s">
        <v>25</v>
      </c>
    </row>
    <row r="17" spans="1:12" x14ac:dyDescent="0.35">
      <c r="A17" s="9" t="s">
        <v>47</v>
      </c>
      <c r="B17" s="9" t="s">
        <v>48</v>
      </c>
      <c r="C17" s="10" t="s">
        <v>49</v>
      </c>
      <c r="D17" s="11" t="s">
        <v>31</v>
      </c>
      <c r="E17" s="12">
        <f t="shared" si="0"/>
        <v>3.3000000000000002E-2</v>
      </c>
      <c r="F17" s="13">
        <v>33</v>
      </c>
      <c r="G17" s="14">
        <f t="shared" si="1"/>
        <v>36.300000000000004</v>
      </c>
      <c r="H17" s="15">
        <f>SUMIF('Pole List'!$B$4:$B$62,C17,'Pole List'!$D$4:$D$62)</f>
        <v>1</v>
      </c>
      <c r="I17" s="15">
        <f>SUMIF('Pole List'!$B$4:$B$62,C17,'Pole List'!$G$4:$G$62)</f>
        <v>1</v>
      </c>
      <c r="J17" s="16">
        <v>2</v>
      </c>
      <c r="K17" s="14">
        <f t="shared" si="2"/>
        <v>72.600000000000009</v>
      </c>
      <c r="L17" s="11" t="s">
        <v>25</v>
      </c>
    </row>
    <row r="19" spans="1:12" x14ac:dyDescent="0.35">
      <c r="A19" s="2" t="s">
        <v>50</v>
      </c>
      <c r="B19" s="2"/>
      <c r="C19" s="2"/>
      <c r="D19" s="2"/>
      <c r="E19" s="18">
        <f>SUM(E6:E17)</f>
        <v>1.75</v>
      </c>
      <c r="F19" s="19">
        <f>SUM(F6:F17)</f>
        <v>1750</v>
      </c>
      <c r="G19" s="20">
        <f>SUM(G6:G17)</f>
        <v>1925</v>
      </c>
      <c r="H19" s="21">
        <f>SUM(H6:H17)</f>
        <v>60</v>
      </c>
      <c r="I19" s="21">
        <f>SUM(I6:I17)</f>
        <v>42</v>
      </c>
      <c r="J19" s="17"/>
      <c r="K19" s="20">
        <f>SUM(K6:K17)</f>
        <v>4646.4000000000005</v>
      </c>
      <c r="L19" s="17"/>
    </row>
    <row r="20" spans="1:12" x14ac:dyDescent="0.35">
      <c r="A20" s="2" t="s">
        <v>51</v>
      </c>
      <c r="B20" s="2"/>
      <c r="C20" s="2"/>
      <c r="D20" s="2"/>
      <c r="E20" s="18">
        <f>SUMIF($D$6:$D$17,"3*",E6:E17)</f>
        <v>0.26900000000000002</v>
      </c>
      <c r="F20" s="19">
        <f>SUMIF($D$6:$D$17,"3*",F6:F17)</f>
        <v>269</v>
      </c>
      <c r="G20" s="20">
        <f>SUMIF($D$6:$D$17,"3*",G6:G17)</f>
        <v>295.90000000000003</v>
      </c>
      <c r="H20" s="21">
        <f>SUMIF($D$6:$D$17,"3*",H6:H17)</f>
        <v>7</v>
      </c>
      <c r="I20" s="21">
        <f>SUMIF($D$6:$D$17,"3*",I6:I17)</f>
        <v>4</v>
      </c>
      <c r="J20" s="17"/>
      <c r="K20" s="20">
        <f>SUMIF($D$6:$D$17,"3*",K6:K17)</f>
        <v>887.7</v>
      </c>
      <c r="L20" s="17"/>
    </row>
    <row r="21" spans="1:12" x14ac:dyDescent="0.35">
      <c r="A21" s="2" t="s">
        <v>52</v>
      </c>
      <c r="B21" s="2"/>
      <c r="C21" s="2"/>
      <c r="D21" s="2"/>
      <c r="E21" s="18">
        <f>SUMIF($D$6:$D$17,"2*",E6:E17)</f>
        <v>0.45500000000000002</v>
      </c>
      <c r="F21" s="19">
        <f>SUMIF($D$6:$D$17,"2*",F6:F17)</f>
        <v>455</v>
      </c>
      <c r="G21" s="20">
        <f>SUMIF($D$6:$D$17,"2*",G6:G17)</f>
        <v>500.50000000000006</v>
      </c>
      <c r="H21" s="21">
        <f>SUMIF($D$6:$D$17,"2*",H6:H17)</f>
        <v>14</v>
      </c>
      <c r="I21" s="21">
        <f>SUMIF($D$6:$D$17,"2*",I6:I17)</f>
        <v>8</v>
      </c>
      <c r="J21" s="17"/>
      <c r="K21" s="20">
        <f>SUMIF($D$6:$D$17,"2*",K6:K17)</f>
        <v>1501.5</v>
      </c>
      <c r="L21" s="17"/>
    </row>
    <row r="22" spans="1:12" x14ac:dyDescent="0.35">
      <c r="A22" s="2" t="s">
        <v>53</v>
      </c>
      <c r="B22" s="2"/>
      <c r="C22" s="2"/>
      <c r="D22" s="2"/>
      <c r="E22" s="18">
        <f>SUMIF($D$6:$D$17,"1*",E6:E17)</f>
        <v>1.026</v>
      </c>
      <c r="F22" s="19">
        <f>SUMIF($D$6:$D$17,"1*",F6:F17)</f>
        <v>1026</v>
      </c>
      <c r="G22" s="20">
        <f>SUMIF($D$6:$D$17,"1*",G6:G17)</f>
        <v>1128.5999999999999</v>
      </c>
      <c r="H22" s="21">
        <f>SUMIF($D$6:$D$17,"1*",H6:H17)</f>
        <v>39</v>
      </c>
      <c r="I22" s="21">
        <f>SUMIF($D$6:$D$17,"1*",I6:I17)</f>
        <v>30</v>
      </c>
      <c r="J22" s="17"/>
      <c r="K22" s="20">
        <f>SUMIF($D$6:$D$17,"1*",K6:K17)</f>
        <v>2257.1999999999998</v>
      </c>
      <c r="L22" s="17"/>
    </row>
    <row r="23" spans="1:12" x14ac:dyDescent="0.35">
      <c r="A23" s="2" t="s">
        <v>54</v>
      </c>
      <c r="B23" s="2"/>
      <c r="C23" s="2"/>
      <c r="D23" s="2"/>
      <c r="E23" s="18">
        <f>E21+E22</f>
        <v>1.4810000000000001</v>
      </c>
      <c r="F23" s="19">
        <f>F21+F22</f>
        <v>1481</v>
      </c>
      <c r="G23" s="20">
        <f>G21+G22</f>
        <v>1629.1</v>
      </c>
      <c r="H23" s="21">
        <f>H21+H22</f>
        <v>53</v>
      </c>
      <c r="I23" s="21">
        <f>I21+I22</f>
        <v>38</v>
      </c>
      <c r="J23" s="17"/>
      <c r="K23" s="20">
        <f>K21+K22</f>
        <v>3758.7</v>
      </c>
      <c r="L23" s="17"/>
    </row>
    <row r="24" spans="1:12" x14ac:dyDescent="0.35">
      <c r="A24" s="1" t="s">
        <v>55</v>
      </c>
      <c r="B24" s="1"/>
      <c r="C24" s="1"/>
      <c r="D24" s="1"/>
      <c r="E24" s="22"/>
      <c r="F24" s="22"/>
      <c r="G24" s="22"/>
      <c r="H24" s="23" t="str">
        <f>IF(H19='Pole List'!D63,"OK","CHECK")</f>
        <v>OK</v>
      </c>
      <c r="I24" s="23" t="str">
        <f>IF(I19='Pole List'!G63,"OK","CHECK")</f>
        <v>OK</v>
      </c>
      <c r="J24" s="22"/>
      <c r="K24" s="22"/>
      <c r="L24" s="22"/>
    </row>
    <row r="26" spans="1:12" x14ac:dyDescent="0.35">
      <c r="A26" s="24" t="s">
        <v>56</v>
      </c>
    </row>
    <row r="28" spans="1:12" x14ac:dyDescent="0.35">
      <c r="A28" s="24" t="s">
        <v>57</v>
      </c>
    </row>
    <row r="29" spans="1:12" x14ac:dyDescent="0.35">
      <c r="A29" s="25" t="s">
        <v>115</v>
      </c>
    </row>
    <row r="30" spans="1:12" x14ac:dyDescent="0.35">
      <c r="A30" s="25" t="s">
        <v>116</v>
      </c>
    </row>
    <row r="31" spans="1:12" x14ac:dyDescent="0.35">
      <c r="A31" s="25" t="s">
        <v>58</v>
      </c>
    </row>
    <row r="32" spans="1:12" x14ac:dyDescent="0.35">
      <c r="A32" s="25" t="s">
        <v>59</v>
      </c>
    </row>
    <row r="33" spans="1:1" x14ac:dyDescent="0.35">
      <c r="A33" s="25" t="s">
        <v>60</v>
      </c>
    </row>
  </sheetData>
  <mergeCells count="17">
    <mergeCell ref="A22:D22"/>
    <mergeCell ref="A23:D23"/>
    <mergeCell ref="A24:D24"/>
    <mergeCell ref="L4:L5"/>
    <mergeCell ref="A19:D19"/>
    <mergeCell ref="A20:D20"/>
    <mergeCell ref="A21:D21"/>
    <mergeCell ref="G4:G5"/>
    <mergeCell ref="H4:H5"/>
    <mergeCell ref="I4:I5"/>
    <mergeCell ref="J4:J5"/>
    <mergeCell ref="K4:K5"/>
    <mergeCell ref="A4:B4"/>
    <mergeCell ref="C4:C5"/>
    <mergeCell ref="D4:D5"/>
    <mergeCell ref="E4:E5"/>
    <mergeCell ref="F4:F5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65"/>
  <sheetViews>
    <sheetView showGridLines="0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1" sqref="B11"/>
    </sheetView>
  </sheetViews>
  <sheetFormatPr defaultColWidth="8.6328125" defaultRowHeight="14.5" x14ac:dyDescent="0.35"/>
  <cols>
    <col min="1" max="1" width="9" customWidth="1"/>
    <col min="2" max="2" width="13" customWidth="1"/>
    <col min="3" max="3" width="18" customWidth="1"/>
    <col min="4" max="4" width="8" customWidth="1"/>
    <col min="5" max="5" width="9" customWidth="1"/>
    <col min="6" max="6" width="10" customWidth="1"/>
    <col min="7" max="7" width="8" customWidth="1"/>
  </cols>
  <sheetData>
    <row r="1" spans="1:7" ht="16.5" x14ac:dyDescent="0.35">
      <c r="A1" s="4" t="s">
        <v>118</v>
      </c>
    </row>
    <row r="3" spans="1:7" ht="42" customHeight="1" x14ac:dyDescent="0.35">
      <c r="A3" s="8" t="s">
        <v>61</v>
      </c>
      <c r="B3" s="8" t="s">
        <v>62</v>
      </c>
      <c r="C3" s="8" t="s">
        <v>63</v>
      </c>
      <c r="D3" s="8" t="s">
        <v>64</v>
      </c>
      <c r="E3" s="8" t="s">
        <v>65</v>
      </c>
      <c r="F3" s="8" t="s">
        <v>66</v>
      </c>
      <c r="G3" s="8" t="s">
        <v>9</v>
      </c>
    </row>
    <row r="4" spans="1:7" x14ac:dyDescent="0.35">
      <c r="A4" s="10" t="s">
        <v>15</v>
      </c>
      <c r="B4" s="9" t="s">
        <v>17</v>
      </c>
      <c r="C4" s="9" t="s">
        <v>67</v>
      </c>
      <c r="D4" s="16">
        <v>1</v>
      </c>
      <c r="E4" s="16">
        <v>11</v>
      </c>
      <c r="F4" s="16">
        <v>0</v>
      </c>
      <c r="G4" s="16">
        <v>1</v>
      </c>
    </row>
    <row r="5" spans="1:7" x14ac:dyDescent="0.35">
      <c r="A5" s="10" t="s">
        <v>68</v>
      </c>
      <c r="B5" s="9" t="s">
        <v>17</v>
      </c>
      <c r="C5" s="9" t="s">
        <v>67</v>
      </c>
      <c r="D5" s="16">
        <v>1</v>
      </c>
      <c r="E5" s="16">
        <v>11</v>
      </c>
      <c r="F5" s="16">
        <v>41</v>
      </c>
      <c r="G5" s="16">
        <v>1</v>
      </c>
    </row>
    <row r="6" spans="1:7" x14ac:dyDescent="0.35">
      <c r="A6" s="10" t="s">
        <v>69</v>
      </c>
      <c r="B6" s="9" t="s">
        <v>17</v>
      </c>
      <c r="C6" s="9" t="s">
        <v>67</v>
      </c>
      <c r="D6" s="16">
        <v>1</v>
      </c>
      <c r="E6" s="16">
        <v>11</v>
      </c>
      <c r="F6" s="16">
        <v>6</v>
      </c>
      <c r="G6" s="16">
        <v>0</v>
      </c>
    </row>
    <row r="7" spans="1:7" x14ac:dyDescent="0.35">
      <c r="A7" s="10" t="s">
        <v>70</v>
      </c>
      <c r="B7" s="9" t="s">
        <v>17</v>
      </c>
      <c r="C7" s="9" t="s">
        <v>67</v>
      </c>
      <c r="D7" s="16">
        <v>1</v>
      </c>
      <c r="E7" s="16">
        <v>11</v>
      </c>
      <c r="F7" s="16">
        <v>2</v>
      </c>
      <c r="G7" s="16">
        <v>0</v>
      </c>
    </row>
    <row r="8" spans="1:7" x14ac:dyDescent="0.35">
      <c r="A8" s="10" t="s">
        <v>71</v>
      </c>
      <c r="B8" s="9" t="s">
        <v>17</v>
      </c>
      <c r="C8" s="9" t="s">
        <v>67</v>
      </c>
      <c r="D8" s="16">
        <v>1</v>
      </c>
      <c r="E8" s="16">
        <v>11</v>
      </c>
      <c r="F8" s="16">
        <v>31</v>
      </c>
      <c r="G8" s="16">
        <v>1</v>
      </c>
    </row>
    <row r="9" spans="1:7" x14ac:dyDescent="0.35">
      <c r="A9" s="10" t="s">
        <v>16</v>
      </c>
      <c r="B9" s="9" t="s">
        <v>20</v>
      </c>
      <c r="C9" s="9" t="s">
        <v>72</v>
      </c>
      <c r="D9" s="16">
        <v>2</v>
      </c>
      <c r="E9" s="16">
        <v>11</v>
      </c>
      <c r="F9" s="16">
        <v>0</v>
      </c>
      <c r="G9" s="16">
        <v>1</v>
      </c>
    </row>
    <row r="10" spans="1:7" x14ac:dyDescent="0.35">
      <c r="A10" s="10" t="s">
        <v>73</v>
      </c>
      <c r="B10" s="9" t="s">
        <v>23</v>
      </c>
      <c r="C10" s="9" t="s">
        <v>74</v>
      </c>
      <c r="D10" s="16">
        <v>1</v>
      </c>
      <c r="E10" s="16">
        <v>8</v>
      </c>
      <c r="F10" s="16">
        <v>0</v>
      </c>
      <c r="G10" s="16">
        <v>0</v>
      </c>
    </row>
    <row r="11" spans="1:7" x14ac:dyDescent="0.35">
      <c r="A11" s="10" t="s">
        <v>75</v>
      </c>
      <c r="B11" s="9" t="s">
        <v>23</v>
      </c>
      <c r="C11" s="9" t="s">
        <v>74</v>
      </c>
      <c r="D11" s="16">
        <v>1</v>
      </c>
      <c r="E11" s="16">
        <v>8</v>
      </c>
      <c r="F11" s="16">
        <v>6</v>
      </c>
      <c r="G11" s="16">
        <v>0</v>
      </c>
    </row>
    <row r="12" spans="1:7" x14ac:dyDescent="0.35">
      <c r="A12" s="10" t="s">
        <v>76</v>
      </c>
      <c r="B12" s="9" t="s">
        <v>23</v>
      </c>
      <c r="C12" s="9" t="s">
        <v>74</v>
      </c>
      <c r="D12" s="16">
        <v>1</v>
      </c>
      <c r="E12" s="16">
        <v>8</v>
      </c>
      <c r="F12" s="16">
        <v>23</v>
      </c>
      <c r="G12" s="16">
        <v>1</v>
      </c>
    </row>
    <row r="13" spans="1:7" x14ac:dyDescent="0.35">
      <c r="A13" s="10" t="s">
        <v>77</v>
      </c>
      <c r="B13" s="9" t="s">
        <v>23</v>
      </c>
      <c r="C13" s="9" t="s">
        <v>74</v>
      </c>
      <c r="D13" s="16">
        <v>1</v>
      </c>
      <c r="E13" s="16">
        <v>8</v>
      </c>
      <c r="F13" s="16">
        <v>32</v>
      </c>
      <c r="G13" s="16">
        <v>1</v>
      </c>
    </row>
    <row r="14" spans="1:7" x14ac:dyDescent="0.35">
      <c r="A14" s="10" t="s">
        <v>78</v>
      </c>
      <c r="B14" s="9" t="s">
        <v>23</v>
      </c>
      <c r="C14" s="9" t="s">
        <v>74</v>
      </c>
      <c r="D14" s="16">
        <v>1</v>
      </c>
      <c r="E14" s="16">
        <v>8</v>
      </c>
      <c r="F14" s="16">
        <v>42</v>
      </c>
      <c r="G14" s="16">
        <v>1</v>
      </c>
    </row>
    <row r="15" spans="1:7" x14ac:dyDescent="0.35">
      <c r="A15" s="10" t="s">
        <v>79</v>
      </c>
      <c r="B15" s="9" t="s">
        <v>23</v>
      </c>
      <c r="C15" s="9" t="s">
        <v>74</v>
      </c>
      <c r="D15" s="16">
        <v>1</v>
      </c>
      <c r="E15" s="16">
        <v>8</v>
      </c>
      <c r="F15" s="16">
        <v>58</v>
      </c>
      <c r="G15" s="16">
        <v>1</v>
      </c>
    </row>
    <row r="16" spans="1:7" x14ac:dyDescent="0.35">
      <c r="A16" s="10" t="s">
        <v>80</v>
      </c>
      <c r="B16" s="9" t="s">
        <v>23</v>
      </c>
      <c r="C16" s="9" t="s">
        <v>74</v>
      </c>
      <c r="D16" s="16">
        <v>1</v>
      </c>
      <c r="E16" s="16">
        <v>8</v>
      </c>
      <c r="F16" s="16">
        <v>63</v>
      </c>
      <c r="G16" s="16">
        <v>2</v>
      </c>
    </row>
    <row r="17" spans="1:7" x14ac:dyDescent="0.35">
      <c r="A17" s="10" t="s">
        <v>22</v>
      </c>
      <c r="B17" s="9" t="s">
        <v>23</v>
      </c>
      <c r="C17" s="9" t="s">
        <v>74</v>
      </c>
      <c r="D17" s="16">
        <v>1</v>
      </c>
      <c r="E17" s="16">
        <v>8</v>
      </c>
      <c r="F17" s="16">
        <v>0</v>
      </c>
      <c r="G17" s="16">
        <v>1</v>
      </c>
    </row>
    <row r="18" spans="1:7" x14ac:dyDescent="0.35">
      <c r="A18" s="10" t="s">
        <v>81</v>
      </c>
      <c r="B18" s="9" t="s">
        <v>27</v>
      </c>
      <c r="C18" s="9" t="s">
        <v>74</v>
      </c>
      <c r="D18" s="16">
        <v>1</v>
      </c>
      <c r="E18" s="16">
        <v>8</v>
      </c>
      <c r="F18" s="16">
        <v>20</v>
      </c>
      <c r="G18" s="16">
        <v>1</v>
      </c>
    </row>
    <row r="19" spans="1:7" x14ac:dyDescent="0.35">
      <c r="A19" s="10" t="s">
        <v>82</v>
      </c>
      <c r="B19" s="9" t="s">
        <v>27</v>
      </c>
      <c r="C19" s="9" t="s">
        <v>74</v>
      </c>
      <c r="D19" s="16">
        <v>1</v>
      </c>
      <c r="E19" s="16">
        <v>8</v>
      </c>
      <c r="F19" s="16">
        <v>11</v>
      </c>
      <c r="G19" s="16">
        <v>1</v>
      </c>
    </row>
    <row r="20" spans="1:7" x14ac:dyDescent="0.35">
      <c r="A20" s="10" t="s">
        <v>83</v>
      </c>
      <c r="B20" s="9" t="s">
        <v>27</v>
      </c>
      <c r="C20" s="9" t="s">
        <v>74</v>
      </c>
      <c r="D20" s="16">
        <v>1</v>
      </c>
      <c r="E20" s="16">
        <v>8</v>
      </c>
      <c r="F20" s="16">
        <v>11</v>
      </c>
      <c r="G20" s="16">
        <v>1</v>
      </c>
    </row>
    <row r="21" spans="1:7" x14ac:dyDescent="0.35">
      <c r="A21" s="10" t="s">
        <v>84</v>
      </c>
      <c r="B21" s="9" t="s">
        <v>27</v>
      </c>
      <c r="C21" s="9" t="s">
        <v>74</v>
      </c>
      <c r="D21" s="16">
        <v>1</v>
      </c>
      <c r="E21" s="16">
        <v>8</v>
      </c>
      <c r="F21" s="16">
        <v>0</v>
      </c>
      <c r="G21" s="16">
        <v>0</v>
      </c>
    </row>
    <row r="22" spans="1:7" x14ac:dyDescent="0.35">
      <c r="A22" s="10" t="s">
        <v>26</v>
      </c>
      <c r="B22" s="9" t="s">
        <v>27</v>
      </c>
      <c r="C22" s="9" t="s">
        <v>74</v>
      </c>
      <c r="D22" s="16">
        <v>1</v>
      </c>
      <c r="E22" s="16">
        <v>8</v>
      </c>
      <c r="F22" s="16">
        <v>0</v>
      </c>
      <c r="G22" s="16">
        <v>1</v>
      </c>
    </row>
    <row r="23" spans="1:7" x14ac:dyDescent="0.35">
      <c r="A23" s="10" t="s">
        <v>85</v>
      </c>
      <c r="B23" s="9" t="s">
        <v>30</v>
      </c>
      <c r="C23" s="9" t="s">
        <v>74</v>
      </c>
      <c r="D23" s="16">
        <v>1</v>
      </c>
      <c r="E23" s="16">
        <v>8</v>
      </c>
      <c r="F23" s="16">
        <v>2</v>
      </c>
      <c r="G23" s="16">
        <v>0</v>
      </c>
    </row>
    <row r="24" spans="1:7" x14ac:dyDescent="0.35">
      <c r="A24" s="10" t="s">
        <v>86</v>
      </c>
      <c r="B24" s="9" t="s">
        <v>30</v>
      </c>
      <c r="C24" s="9" t="s">
        <v>74</v>
      </c>
      <c r="D24" s="16">
        <v>1</v>
      </c>
      <c r="E24" s="16">
        <v>8</v>
      </c>
      <c r="F24" s="16">
        <v>34</v>
      </c>
      <c r="G24" s="16">
        <v>1</v>
      </c>
    </row>
    <row r="25" spans="1:7" x14ac:dyDescent="0.35">
      <c r="A25" s="10" t="s">
        <v>87</v>
      </c>
      <c r="B25" s="9" t="s">
        <v>30</v>
      </c>
      <c r="C25" s="9" t="s">
        <v>74</v>
      </c>
      <c r="D25" s="16">
        <v>1</v>
      </c>
      <c r="E25" s="16">
        <v>8</v>
      </c>
      <c r="F25" s="16">
        <v>3</v>
      </c>
      <c r="G25" s="16">
        <v>0</v>
      </c>
    </row>
    <row r="26" spans="1:7" x14ac:dyDescent="0.35">
      <c r="A26" s="10" t="s">
        <v>88</v>
      </c>
      <c r="B26" s="9" t="s">
        <v>30</v>
      </c>
      <c r="C26" s="9" t="s">
        <v>74</v>
      </c>
      <c r="D26" s="16">
        <v>1</v>
      </c>
      <c r="E26" s="16">
        <v>8</v>
      </c>
      <c r="F26" s="16">
        <v>68</v>
      </c>
      <c r="G26" s="16">
        <v>2</v>
      </c>
    </row>
    <row r="27" spans="1:7" x14ac:dyDescent="0.35">
      <c r="A27" s="10" t="s">
        <v>89</v>
      </c>
      <c r="B27" s="9" t="s">
        <v>30</v>
      </c>
      <c r="C27" s="9" t="s">
        <v>74</v>
      </c>
      <c r="D27" s="16">
        <v>1</v>
      </c>
      <c r="E27" s="16">
        <v>8</v>
      </c>
      <c r="F27" s="16">
        <v>42</v>
      </c>
      <c r="G27" s="16">
        <v>1</v>
      </c>
    </row>
    <row r="28" spans="1:7" x14ac:dyDescent="0.35">
      <c r="A28" s="10" t="s">
        <v>90</v>
      </c>
      <c r="B28" s="9" t="s">
        <v>30</v>
      </c>
      <c r="C28" s="9" t="s">
        <v>74</v>
      </c>
      <c r="D28" s="16">
        <v>1</v>
      </c>
      <c r="E28" s="16">
        <v>8</v>
      </c>
      <c r="F28" s="16">
        <v>15</v>
      </c>
      <c r="G28" s="16">
        <v>1</v>
      </c>
    </row>
    <row r="29" spans="1:7" x14ac:dyDescent="0.35">
      <c r="A29" s="10" t="s">
        <v>29</v>
      </c>
      <c r="B29" s="9" t="s">
        <v>30</v>
      </c>
      <c r="C29" s="9" t="s">
        <v>74</v>
      </c>
      <c r="D29" s="16">
        <v>1</v>
      </c>
      <c r="E29" s="16">
        <v>8</v>
      </c>
      <c r="F29" s="16">
        <v>0</v>
      </c>
      <c r="G29" s="16">
        <v>1</v>
      </c>
    </row>
    <row r="30" spans="1:7" x14ac:dyDescent="0.35">
      <c r="A30" s="10" t="s">
        <v>91</v>
      </c>
      <c r="B30" s="9" t="s">
        <v>33</v>
      </c>
      <c r="C30" s="9" t="s">
        <v>74</v>
      </c>
      <c r="D30" s="16">
        <v>1</v>
      </c>
      <c r="E30" s="16">
        <v>8</v>
      </c>
      <c r="F30" s="16">
        <v>75</v>
      </c>
      <c r="G30" s="16">
        <v>2</v>
      </c>
    </row>
    <row r="31" spans="1:7" x14ac:dyDescent="0.35">
      <c r="A31" s="10" t="s">
        <v>92</v>
      </c>
      <c r="B31" s="9" t="s">
        <v>33</v>
      </c>
      <c r="C31" s="9" t="s">
        <v>74</v>
      </c>
      <c r="D31" s="16">
        <v>1</v>
      </c>
      <c r="E31" s="16">
        <v>8</v>
      </c>
      <c r="F31" s="16">
        <v>8</v>
      </c>
      <c r="G31" s="16">
        <v>0</v>
      </c>
    </row>
    <row r="32" spans="1:7" x14ac:dyDescent="0.35">
      <c r="A32" s="10" t="s">
        <v>93</v>
      </c>
      <c r="B32" s="9" t="s">
        <v>33</v>
      </c>
      <c r="C32" s="9" t="s">
        <v>74</v>
      </c>
      <c r="D32" s="16">
        <v>1</v>
      </c>
      <c r="E32" s="16">
        <v>8</v>
      </c>
      <c r="F32" s="16">
        <v>4</v>
      </c>
      <c r="G32" s="16">
        <v>0</v>
      </c>
    </row>
    <row r="33" spans="1:7" x14ac:dyDescent="0.35">
      <c r="A33" s="10" t="s">
        <v>94</v>
      </c>
      <c r="B33" s="9" t="s">
        <v>33</v>
      </c>
      <c r="C33" s="9" t="s">
        <v>74</v>
      </c>
      <c r="D33" s="16">
        <v>1</v>
      </c>
      <c r="E33" s="16">
        <v>8</v>
      </c>
      <c r="F33" s="16">
        <v>4</v>
      </c>
      <c r="G33" s="16">
        <v>0</v>
      </c>
    </row>
    <row r="34" spans="1:7" x14ac:dyDescent="0.35">
      <c r="A34" s="10" t="s">
        <v>95</v>
      </c>
      <c r="B34" s="9" t="s">
        <v>33</v>
      </c>
      <c r="C34" s="9" t="s">
        <v>74</v>
      </c>
      <c r="D34" s="16">
        <v>1</v>
      </c>
      <c r="E34" s="16">
        <v>8</v>
      </c>
      <c r="F34" s="16">
        <v>11</v>
      </c>
      <c r="G34" s="16">
        <v>1</v>
      </c>
    </row>
    <row r="35" spans="1:7" x14ac:dyDescent="0.35">
      <c r="A35" s="10" t="s">
        <v>96</v>
      </c>
      <c r="B35" s="9" t="s">
        <v>33</v>
      </c>
      <c r="C35" s="9" t="s">
        <v>74</v>
      </c>
      <c r="D35" s="16">
        <v>1</v>
      </c>
      <c r="E35" s="16">
        <v>8</v>
      </c>
      <c r="F35" s="16">
        <v>18</v>
      </c>
      <c r="G35" s="16">
        <v>1</v>
      </c>
    </row>
    <row r="36" spans="1:7" x14ac:dyDescent="0.35">
      <c r="A36" s="10" t="s">
        <v>32</v>
      </c>
      <c r="B36" s="9" t="s">
        <v>33</v>
      </c>
      <c r="C36" s="9" t="s">
        <v>74</v>
      </c>
      <c r="D36" s="16">
        <v>1</v>
      </c>
      <c r="E36" s="16">
        <v>8</v>
      </c>
      <c r="F36" s="16">
        <v>0</v>
      </c>
      <c r="G36" s="16">
        <v>1</v>
      </c>
    </row>
    <row r="37" spans="1:7" x14ac:dyDescent="0.35">
      <c r="A37" s="10" t="s">
        <v>37</v>
      </c>
      <c r="B37" s="9" t="s">
        <v>35</v>
      </c>
      <c r="C37" s="9" t="s">
        <v>74</v>
      </c>
      <c r="D37" s="16">
        <v>1</v>
      </c>
      <c r="E37" s="16">
        <v>8</v>
      </c>
      <c r="F37" s="16">
        <v>0</v>
      </c>
      <c r="G37" s="16">
        <v>1</v>
      </c>
    </row>
    <row r="38" spans="1:7" x14ac:dyDescent="0.35">
      <c r="A38" s="10" t="s">
        <v>97</v>
      </c>
      <c r="B38" s="9" t="s">
        <v>35</v>
      </c>
      <c r="C38" s="9" t="s">
        <v>74</v>
      </c>
      <c r="D38" s="16">
        <v>1</v>
      </c>
      <c r="E38" s="16">
        <v>8</v>
      </c>
      <c r="F38" s="16">
        <v>8</v>
      </c>
      <c r="G38" s="16">
        <v>0</v>
      </c>
    </row>
    <row r="39" spans="1:7" x14ac:dyDescent="0.35">
      <c r="A39" s="10" t="s">
        <v>98</v>
      </c>
      <c r="B39" s="9" t="s">
        <v>35</v>
      </c>
      <c r="C39" s="9" t="s">
        <v>74</v>
      </c>
      <c r="D39" s="16">
        <v>1</v>
      </c>
      <c r="E39" s="16">
        <v>8</v>
      </c>
      <c r="F39" s="16">
        <v>31</v>
      </c>
      <c r="G39" s="16">
        <v>1</v>
      </c>
    </row>
    <row r="40" spans="1:7" x14ac:dyDescent="0.35">
      <c r="A40" s="10" t="s">
        <v>99</v>
      </c>
      <c r="B40" s="9" t="s">
        <v>35</v>
      </c>
      <c r="C40" s="9" t="s">
        <v>74</v>
      </c>
      <c r="D40" s="16">
        <v>1</v>
      </c>
      <c r="E40" s="16">
        <v>8</v>
      </c>
      <c r="F40" s="16">
        <v>9</v>
      </c>
      <c r="G40" s="16">
        <v>0</v>
      </c>
    </row>
    <row r="41" spans="1:7" x14ac:dyDescent="0.35">
      <c r="A41" s="10" t="s">
        <v>100</v>
      </c>
      <c r="B41" s="9" t="s">
        <v>35</v>
      </c>
      <c r="C41" s="9" t="s">
        <v>74</v>
      </c>
      <c r="D41" s="16">
        <v>1</v>
      </c>
      <c r="E41" s="16">
        <v>8</v>
      </c>
      <c r="F41" s="16">
        <v>18</v>
      </c>
      <c r="G41" s="16">
        <v>1</v>
      </c>
    </row>
    <row r="42" spans="1:7" x14ac:dyDescent="0.35">
      <c r="A42" s="10" t="s">
        <v>101</v>
      </c>
      <c r="B42" s="9" t="s">
        <v>35</v>
      </c>
      <c r="C42" s="9" t="s">
        <v>74</v>
      </c>
      <c r="D42" s="16">
        <v>1</v>
      </c>
      <c r="E42" s="16">
        <v>8</v>
      </c>
      <c r="F42" s="16">
        <v>20</v>
      </c>
      <c r="G42" s="16">
        <v>1</v>
      </c>
    </row>
    <row r="43" spans="1:7" x14ac:dyDescent="0.35">
      <c r="A43" s="10" t="s">
        <v>34</v>
      </c>
      <c r="B43" s="9" t="s">
        <v>35</v>
      </c>
      <c r="C43" s="9" t="s">
        <v>74</v>
      </c>
      <c r="D43" s="16">
        <v>1</v>
      </c>
      <c r="E43" s="16">
        <v>8</v>
      </c>
      <c r="F43" s="16">
        <v>0</v>
      </c>
      <c r="G43" s="16">
        <v>1</v>
      </c>
    </row>
    <row r="44" spans="1:7" x14ac:dyDescent="0.35">
      <c r="A44" s="10" t="s">
        <v>102</v>
      </c>
      <c r="B44" s="9" t="s">
        <v>39</v>
      </c>
      <c r="C44" s="9" t="s">
        <v>74</v>
      </c>
      <c r="D44" s="16">
        <v>1</v>
      </c>
      <c r="E44" s="16">
        <v>8</v>
      </c>
      <c r="F44" s="16">
        <v>32</v>
      </c>
      <c r="G44" s="16">
        <v>1</v>
      </c>
    </row>
    <row r="45" spans="1:7" x14ac:dyDescent="0.35">
      <c r="A45" s="10" t="s">
        <v>103</v>
      </c>
      <c r="B45" s="9" t="s">
        <v>39</v>
      </c>
      <c r="C45" s="9" t="s">
        <v>74</v>
      </c>
      <c r="D45" s="16">
        <v>1</v>
      </c>
      <c r="E45" s="16">
        <v>8</v>
      </c>
      <c r="F45" s="16">
        <v>21</v>
      </c>
      <c r="G45" s="16">
        <v>1</v>
      </c>
    </row>
    <row r="46" spans="1:7" x14ac:dyDescent="0.35">
      <c r="A46" s="10" t="s">
        <v>104</v>
      </c>
      <c r="B46" s="9" t="s">
        <v>39</v>
      </c>
      <c r="C46" s="9" t="s">
        <v>74</v>
      </c>
      <c r="D46" s="16">
        <v>1</v>
      </c>
      <c r="E46" s="16">
        <v>8</v>
      </c>
      <c r="F46" s="16">
        <v>10</v>
      </c>
      <c r="G46" s="16">
        <v>0</v>
      </c>
    </row>
    <row r="47" spans="1:7" x14ac:dyDescent="0.35">
      <c r="A47" s="10" t="s">
        <v>38</v>
      </c>
      <c r="B47" s="9" t="s">
        <v>39</v>
      </c>
      <c r="C47" s="9" t="s">
        <v>74</v>
      </c>
      <c r="D47" s="16">
        <v>1</v>
      </c>
      <c r="E47" s="16">
        <v>8</v>
      </c>
      <c r="F47" s="16">
        <v>0</v>
      </c>
      <c r="G47" s="16">
        <v>1</v>
      </c>
    </row>
    <row r="48" spans="1:7" x14ac:dyDescent="0.35">
      <c r="A48" s="10" t="s">
        <v>105</v>
      </c>
      <c r="B48" s="9" t="s">
        <v>41</v>
      </c>
      <c r="C48" s="9" t="s">
        <v>74</v>
      </c>
      <c r="D48" s="16">
        <v>1</v>
      </c>
      <c r="E48" s="16">
        <v>8</v>
      </c>
      <c r="F48" s="16">
        <v>9</v>
      </c>
      <c r="G48" s="16">
        <v>0</v>
      </c>
    </row>
    <row r="49" spans="1:7" x14ac:dyDescent="0.35">
      <c r="A49" s="10" t="s">
        <v>106</v>
      </c>
      <c r="B49" s="9" t="s">
        <v>41</v>
      </c>
      <c r="C49" s="9" t="s">
        <v>74</v>
      </c>
      <c r="D49" s="16">
        <v>1</v>
      </c>
      <c r="E49" s="16">
        <v>8</v>
      </c>
      <c r="F49" s="16">
        <v>0</v>
      </c>
      <c r="G49" s="16">
        <v>0</v>
      </c>
    </row>
    <row r="50" spans="1:7" x14ac:dyDescent="0.35">
      <c r="A50" s="10" t="s">
        <v>107</v>
      </c>
      <c r="B50" s="9" t="s">
        <v>41</v>
      </c>
      <c r="C50" s="9" t="s">
        <v>74</v>
      </c>
      <c r="D50" s="16">
        <v>1</v>
      </c>
      <c r="E50" s="16">
        <v>8</v>
      </c>
      <c r="F50" s="16">
        <v>0</v>
      </c>
      <c r="G50" s="16">
        <v>0</v>
      </c>
    </row>
    <row r="51" spans="1:7" x14ac:dyDescent="0.35">
      <c r="A51" s="10" t="s">
        <v>108</v>
      </c>
      <c r="B51" s="9" t="s">
        <v>41</v>
      </c>
      <c r="C51" s="9" t="s">
        <v>74</v>
      </c>
      <c r="D51" s="16">
        <v>1</v>
      </c>
      <c r="E51" s="16">
        <v>8</v>
      </c>
      <c r="F51" s="16">
        <v>0</v>
      </c>
      <c r="G51" s="16">
        <v>0</v>
      </c>
    </row>
    <row r="52" spans="1:7" x14ac:dyDescent="0.35">
      <c r="A52" s="10" t="s">
        <v>109</v>
      </c>
      <c r="B52" s="9" t="s">
        <v>41</v>
      </c>
      <c r="C52" s="9" t="s">
        <v>74</v>
      </c>
      <c r="D52" s="16">
        <v>1</v>
      </c>
      <c r="E52" s="16">
        <v>8</v>
      </c>
      <c r="F52" s="16">
        <v>0</v>
      </c>
      <c r="G52" s="16">
        <v>0</v>
      </c>
    </row>
    <row r="53" spans="1:7" x14ac:dyDescent="0.35">
      <c r="A53" s="10" t="s">
        <v>40</v>
      </c>
      <c r="B53" s="9" t="s">
        <v>41</v>
      </c>
      <c r="C53" s="9" t="s">
        <v>74</v>
      </c>
      <c r="D53" s="16">
        <v>1</v>
      </c>
      <c r="E53" s="16">
        <v>8</v>
      </c>
      <c r="F53" s="16">
        <v>0</v>
      </c>
      <c r="G53" s="16">
        <v>1</v>
      </c>
    </row>
    <row r="54" spans="1:7" x14ac:dyDescent="0.35">
      <c r="A54" s="10" t="s">
        <v>110</v>
      </c>
      <c r="B54" s="9" t="s">
        <v>44</v>
      </c>
      <c r="C54" s="9" t="s">
        <v>74</v>
      </c>
      <c r="D54" s="16">
        <v>1</v>
      </c>
      <c r="E54" s="16">
        <v>8</v>
      </c>
      <c r="F54" s="16">
        <v>9</v>
      </c>
      <c r="G54" s="16">
        <v>0</v>
      </c>
    </row>
    <row r="55" spans="1:7" x14ac:dyDescent="0.35">
      <c r="A55" s="10" t="s">
        <v>111</v>
      </c>
      <c r="B55" s="9" t="s">
        <v>44</v>
      </c>
      <c r="C55" s="9" t="s">
        <v>74</v>
      </c>
      <c r="D55" s="16">
        <v>1</v>
      </c>
      <c r="E55" s="16">
        <v>8</v>
      </c>
      <c r="F55" s="16">
        <v>33</v>
      </c>
      <c r="G55" s="16">
        <v>1</v>
      </c>
    </row>
    <row r="56" spans="1:7" x14ac:dyDescent="0.35">
      <c r="A56" s="10" t="s">
        <v>112</v>
      </c>
      <c r="B56" s="9" t="s">
        <v>44</v>
      </c>
      <c r="C56" s="9" t="s">
        <v>74</v>
      </c>
      <c r="D56" s="16">
        <v>1</v>
      </c>
      <c r="E56" s="16">
        <v>8</v>
      </c>
      <c r="F56" s="16">
        <v>52</v>
      </c>
      <c r="G56" s="16">
        <v>1</v>
      </c>
    </row>
    <row r="57" spans="1:7" x14ac:dyDescent="0.35">
      <c r="A57" s="10" t="s">
        <v>43</v>
      </c>
      <c r="B57" s="9" t="s">
        <v>44</v>
      </c>
      <c r="C57" s="9" t="s">
        <v>74</v>
      </c>
      <c r="D57" s="16">
        <v>1</v>
      </c>
      <c r="E57" s="16">
        <v>8</v>
      </c>
      <c r="F57" s="16">
        <v>0</v>
      </c>
      <c r="G57" s="16">
        <v>1</v>
      </c>
    </row>
    <row r="58" spans="1:7" x14ac:dyDescent="0.35">
      <c r="A58" s="10" t="s">
        <v>113</v>
      </c>
      <c r="B58" s="9" t="s">
        <v>46</v>
      </c>
      <c r="C58" s="9" t="s">
        <v>74</v>
      </c>
      <c r="D58" s="16">
        <v>1</v>
      </c>
      <c r="E58" s="16">
        <v>8</v>
      </c>
      <c r="F58" s="16">
        <v>1</v>
      </c>
      <c r="G58" s="16">
        <v>0</v>
      </c>
    </row>
    <row r="59" spans="1:7" x14ac:dyDescent="0.35">
      <c r="A59" s="10" t="s">
        <v>47</v>
      </c>
      <c r="B59" s="9" t="s">
        <v>46</v>
      </c>
      <c r="C59" s="9" t="s">
        <v>74</v>
      </c>
      <c r="D59" s="16">
        <v>1</v>
      </c>
      <c r="E59" s="16">
        <v>8</v>
      </c>
      <c r="F59" s="16">
        <v>0</v>
      </c>
      <c r="G59" s="16">
        <v>1</v>
      </c>
    </row>
    <row r="60" spans="1:7" x14ac:dyDescent="0.35">
      <c r="A60" s="10" t="s">
        <v>114</v>
      </c>
      <c r="B60" s="9" t="s">
        <v>46</v>
      </c>
      <c r="C60" s="9" t="s">
        <v>74</v>
      </c>
      <c r="D60" s="16">
        <v>1</v>
      </c>
      <c r="E60" s="16">
        <v>8</v>
      </c>
      <c r="F60" s="16">
        <v>10</v>
      </c>
      <c r="G60" s="16">
        <v>1</v>
      </c>
    </row>
    <row r="61" spans="1:7" x14ac:dyDescent="0.35">
      <c r="A61" s="10" t="s">
        <v>45</v>
      </c>
      <c r="B61" s="9" t="s">
        <v>46</v>
      </c>
      <c r="C61" s="9" t="s">
        <v>74</v>
      </c>
      <c r="D61" s="16">
        <v>1</v>
      </c>
      <c r="E61" s="16">
        <v>8</v>
      </c>
      <c r="F61" s="16">
        <v>0</v>
      </c>
      <c r="G61" s="16">
        <v>1</v>
      </c>
    </row>
    <row r="62" spans="1:7" x14ac:dyDescent="0.35">
      <c r="A62" s="10" t="s">
        <v>48</v>
      </c>
      <c r="B62" s="9" t="s">
        <v>49</v>
      </c>
      <c r="C62" s="9" t="s">
        <v>74</v>
      </c>
      <c r="D62" s="16">
        <v>1</v>
      </c>
      <c r="E62" s="16">
        <v>8</v>
      </c>
      <c r="F62" s="16">
        <v>0</v>
      </c>
      <c r="G62" s="16">
        <v>1</v>
      </c>
    </row>
    <row r="63" spans="1:7" x14ac:dyDescent="0.35">
      <c r="A63" s="10" t="s">
        <v>50</v>
      </c>
      <c r="B63" s="10"/>
      <c r="C63" s="10"/>
      <c r="D63" s="26">
        <f>SUM(D4:D62)</f>
        <v>60</v>
      </c>
      <c r="E63" s="10"/>
      <c r="F63" s="10"/>
      <c r="G63" s="26">
        <f>SUM(G4:G62)</f>
        <v>42</v>
      </c>
    </row>
    <row r="65" spans="1:1" x14ac:dyDescent="0.35">
      <c r="A65" s="7" t="s">
        <v>117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Pole Table</vt:lpstr>
      <vt:lpstr>Pole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Owen Shrestha</cp:lastModifiedBy>
  <cp:revision>0</cp:revision>
  <dcterms:created xsi:type="dcterms:W3CDTF">2026-10-24T06:00:08Z</dcterms:created>
  <dcterms:modified xsi:type="dcterms:W3CDTF">2026-10-24T14:24:23Z</dcterms:modified>
  <dc:language>en-US</dc:language>
</cp:coreProperties>
</file>